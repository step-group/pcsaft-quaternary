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500" firstSheet="0" activeTab="0" autoFilterDateGrouping="1"/>
  </bookViews>
  <sheets>
    <sheet name="Number Density" sheetId="1" state="visible" r:id="rId1"/>
    <sheet name="Mole Fractions" sheetId="2" state="visible" r:id="rId2"/>
    <sheet name="Mass Fractions" sheetId="3" state="visible" r:id="rId3"/>
    <sheet name="Parameters" sheetId="4" state="visible" r:id="rId4"/>
    <sheet name="Mol Density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i val="1"/>
      <color rgb="FF555555"/>
      <sz val="9"/>
    </font>
    <font>
      <name val="Arial"/>
      <family val="2"/>
      <color rgb="FF70AD47"/>
      <sz val="8"/>
    </font>
    <font>
      <name val="Arial"/>
      <family val="2"/>
      <b val="1"/>
      <color rgb="FFC55A11"/>
      <sz val="8"/>
    </font>
    <font>
      <name val="Arial"/>
      <family val="2"/>
      <b val="1"/>
      <color rgb="FFBF8F00"/>
      <sz val="8"/>
    </font>
    <font>
      <name val="Arial"/>
      <family val="2"/>
      <b val="1"/>
      <color rgb="FFC00000"/>
      <sz val="8"/>
    </font>
    <font>
      <name val="Arial"/>
      <family val="2"/>
      <b val="1"/>
      <color rgb="FFFFFFFF"/>
      <sz val="12"/>
    </font>
    <font>
      <name val="Arial"/>
      <family val="2"/>
      <b val="1"/>
      <sz val="10"/>
    </font>
    <font>
      <name val="Arial"/>
      <family val="2"/>
      <color rgb="FF0000FF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555555"/>
      </patternFill>
    </fill>
    <fill>
      <patternFill patternType="solid">
        <fgColor rgb="FF2E5496"/>
        <bgColor rgb="FF1F3864"/>
      </patternFill>
    </fill>
    <fill>
      <patternFill patternType="solid">
        <fgColor rgb="FFC55A11"/>
        <bgColor rgb="FF993300"/>
      </patternFill>
    </fill>
    <fill>
      <patternFill patternType="solid">
        <fgColor rgb="FFEEF2F8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2F8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6" borderId="1" applyAlignment="1" pivotButton="0" quotePrefix="0" xfId="0">
      <alignment horizontal="center"/>
    </xf>
    <xf numFmtId="2" fontId="4" fillId="7" borderId="1" applyAlignment="1" pivotButton="0" quotePrefix="0" xfId="0">
      <alignment horizontal="center"/>
    </xf>
    <xf numFmtId="2" fontId="4" fillId="8" borderId="1" applyAlignment="1" pivotButton="0" quotePrefix="0" xfId="0">
      <alignment horizontal="center"/>
    </xf>
    <xf numFmtId="2" fontId="4" fillId="9" borderId="1" applyAlignment="1" pivotButton="0" quotePrefix="0" xfId="0">
      <alignment horizontal="center"/>
    </xf>
    <xf numFmtId="0" fontId="11" fillId="0" borderId="0" pivotButton="0" quotePrefix="0" xfId="0"/>
    <xf numFmtId="0" fontId="4" fillId="0" borderId="1" pivotButton="0" quotePrefix="0" xfId="0"/>
    <xf numFmtId="2" fontId="12" fillId="1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2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EF2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C55A1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zoomScaleNormal="100" workbookViewId="0">
      <pane ySplit="3" topLeftCell="A4" activePane="bottomLeft" state="frozen"/>
      <selection pane="bottomLeft" activeCell="U24" sqref="U24"/>
    </sheetView>
  </sheetViews>
  <sheetFormatPr baseColWidth="10" defaultColWidth="8.6640625" defaultRowHeight="15"/>
  <cols>
    <col width="4" customWidth="1" min="1" max="1"/>
    <col width="30" customWidth="1" min="2" max="2"/>
    <col width="20" customWidth="1" min="3" max="3"/>
    <col width="6" customWidth="1" min="4" max="4"/>
    <col width="11" customWidth="1" min="5" max="6"/>
    <col width="15" customWidth="1" min="7" max="7"/>
    <col width="10" customWidth="1" min="8" max="17"/>
  </cols>
  <sheetData>
    <row r="1" ht="21.75" customHeight="1">
      <c r="A1" s="5" t="inlineStr">
        <is>
          <t>Tie-lines — Number density (source data from MD, nm⁻³)</t>
        </is>
      </c>
    </row>
    <row r="2" ht="15" customHeight="1">
      <c r="A2" s="4" t="inlineStr">
        <is>
          <t>Identifiers</t>
        </is>
      </c>
      <c r="B2" s="47" t="n"/>
      <c r="C2" s="47" t="n"/>
      <c r="D2" s="47" t="n"/>
      <c r="E2" s="47" t="n"/>
      <c r="F2" s="47" t="n"/>
      <c r="G2" s="48" t="n"/>
      <c r="H2" s="3" t="inlineStr">
        <is>
          <t>DES-rich phase  (nm⁻³)</t>
        </is>
      </c>
      <c r="I2" s="47" t="n"/>
      <c r="J2" s="47" t="n"/>
      <c r="K2" s="47" t="n"/>
      <c r="L2" s="48" t="n"/>
      <c r="M2" s="2" t="inlineStr">
        <is>
          <t>Water-rich phase  (nm⁻³)</t>
        </is>
      </c>
      <c r="N2" s="47" t="n"/>
      <c r="O2" s="47" t="n"/>
      <c r="P2" s="47" t="n"/>
      <c r="Q2" s="48" t="n"/>
    </row>
    <row r="3" ht="30" customHeight="1">
      <c r="A3" s="6" t="inlineStr">
        <is>
          <t>#</t>
        </is>
      </c>
      <c r="B3" s="6" t="inlineStr">
        <is>
          <t>System</t>
        </is>
      </c>
      <c r="C3" s="6" t="inlineStr">
        <is>
          <t>TAG</t>
        </is>
      </c>
      <c r="D3" s="6" t="inlineStr">
        <is>
          <t>PHE</t>
        </is>
      </c>
      <c r="E3" s="6" t="inlineStr">
        <is>
          <t>HBA</t>
        </is>
      </c>
      <c r="F3" s="6" t="inlineStr">
        <is>
          <t>HBD</t>
        </is>
      </c>
      <c r="G3" s="6" t="inlineStr">
        <is>
          <t>Status</t>
        </is>
      </c>
      <c r="H3" s="6" t="inlineStr">
        <is>
          <t>n(HBA)</t>
        </is>
      </c>
      <c r="I3" s="6" t="inlineStr">
        <is>
          <t>n(HBD)</t>
        </is>
      </c>
      <c r="J3" s="6" t="inlineStr">
        <is>
          <t>n(water)</t>
        </is>
      </c>
      <c r="K3" s="6" t="inlineStr">
        <is>
          <t>n(PHE)</t>
        </is>
      </c>
      <c r="L3" s="6" t="inlineStr">
        <is>
          <t>n(total)</t>
        </is>
      </c>
      <c r="M3" s="6" t="inlineStr">
        <is>
          <t>n(HBA)</t>
        </is>
      </c>
      <c r="N3" s="6" t="inlineStr">
        <is>
          <t>n(HBD)</t>
        </is>
      </c>
      <c r="O3" s="6" t="inlineStr">
        <is>
          <t>n(water)</t>
        </is>
      </c>
      <c r="P3" s="6" t="inlineStr">
        <is>
          <t>n(PHE)</t>
        </is>
      </c>
      <c r="Q3" s="6" t="inlineStr">
        <is>
          <t>n(total)</t>
        </is>
      </c>
      <c r="S3" s="45" t="inlineStr">
        <is>
          <t>HBA/HBD in DES</t>
        </is>
      </c>
    </row>
    <row r="4">
      <c r="A4" s="7" t="n">
        <v>1</v>
      </c>
      <c r="B4" s="8" t="inlineStr">
        <is>
          <t>camphor:carvone [30C] - PHE 20</t>
        </is>
      </c>
      <c r="C4" s="8" t="inlineStr">
        <is>
          <t>CAM:CVN-30C - PHE 20</t>
        </is>
      </c>
      <c r="D4" s="7" t="n">
        <v>20</v>
      </c>
      <c r="E4" s="9" t="inlineStr">
        <is>
          <t>camphor</t>
        </is>
      </c>
      <c r="F4" s="9" t="inlineStr">
        <is>
          <t>carvone</t>
        </is>
      </c>
      <c r="G4" s="10" t="inlineStr">
        <is>
          <t>OK</t>
        </is>
      </c>
      <c r="H4" s="11" t="n">
        <v>6.61722111111111</v>
      </c>
      <c r="I4" s="11" t="n">
        <v>10.7613055555556</v>
      </c>
      <c r="J4" s="11" t="n">
        <v>0.0417990666666667</v>
      </c>
      <c r="K4" s="11" t="n">
        <v>0.384611722222222</v>
      </c>
      <c r="L4" s="11">
        <f>SUM(H4:K4)</f>
        <v/>
      </c>
      <c r="M4" s="11" t="n">
        <v>0.0364079728571429</v>
      </c>
      <c r="N4" s="11" t="n">
        <v>0.000582812157142857</v>
      </c>
      <c r="O4" s="11" t="n">
        <v>8.23080871428572</v>
      </c>
      <c r="P4" s="11" t="n">
        <v>0.0214050928571429</v>
      </c>
      <c r="Q4" s="11">
        <f>SUM(M4:P4)</f>
        <v/>
      </c>
      <c r="S4" s="46">
        <f>H4/I4</f>
        <v/>
      </c>
    </row>
    <row r="5">
      <c r="A5" s="12" t="n">
        <v>2</v>
      </c>
      <c r="B5" s="13" t="inlineStr">
        <is>
          <t>camphor:carvacrol [30C] - PHE 20</t>
        </is>
      </c>
      <c r="C5" s="13" t="inlineStr">
        <is>
          <t>CAM:CVC-30C - PHE 20</t>
        </is>
      </c>
      <c r="D5" s="12" t="n">
        <v>20</v>
      </c>
      <c r="E5" s="14" t="inlineStr">
        <is>
          <t>camphor</t>
        </is>
      </c>
      <c r="F5" s="14" t="inlineStr">
        <is>
          <t>carvacrol</t>
        </is>
      </c>
      <c r="G5" s="15" t="inlineStr">
        <is>
          <t>OK</t>
        </is>
      </c>
      <c r="H5" s="16" t="n">
        <v>6.52571944444444</v>
      </c>
      <c r="I5" s="16" t="n">
        <v>9.154558888888889</v>
      </c>
      <c r="J5" s="16" t="n">
        <v>0.115838888888889</v>
      </c>
      <c r="K5" s="16" t="n">
        <v>0.468009444444445</v>
      </c>
      <c r="L5" s="16">
        <f>SUM(H5:K5)</f>
        <v/>
      </c>
      <c r="M5" s="16" t="n">
        <v>0.0335745915492958</v>
      </c>
      <c r="N5" s="16" t="n">
        <v>0.00480879985915493</v>
      </c>
      <c r="O5" s="16" t="n">
        <v>8.23274633802817</v>
      </c>
      <c r="P5" s="16" t="n">
        <v>0.0144483647887324</v>
      </c>
      <c r="Q5" s="16">
        <f>SUM(M5:P5)</f>
        <v/>
      </c>
      <c r="S5" s="46">
        <f>H5/I5</f>
        <v/>
      </c>
    </row>
    <row r="6">
      <c r="A6" s="7" t="n">
        <v>3</v>
      </c>
      <c r="B6" s="8" t="inlineStr">
        <is>
          <t>camphor:eugenol [30C] - PHE 20</t>
        </is>
      </c>
      <c r="C6" s="8" t="inlineStr">
        <is>
          <t>CAM:EUG-30C - PHE 20</t>
        </is>
      </c>
      <c r="D6" s="7" t="n">
        <v>20</v>
      </c>
      <c r="E6" s="9" t="inlineStr">
        <is>
          <t>camphor</t>
        </is>
      </c>
      <c r="F6" s="9" t="inlineStr">
        <is>
          <t>eugenol</t>
        </is>
      </c>
      <c r="G6" s="10" t="inlineStr">
        <is>
          <t>OK</t>
        </is>
      </c>
      <c r="H6" s="11" t="n">
        <v>6.82437526315789</v>
      </c>
      <c r="I6" s="11" t="n">
        <v>11.3294052631579</v>
      </c>
      <c r="J6" s="11" t="n">
        <v>0.126161052631579</v>
      </c>
      <c r="K6" s="11" t="n">
        <v>0.261095</v>
      </c>
      <c r="L6" s="11">
        <f>SUM(H6:K6)</f>
        <v/>
      </c>
      <c r="M6" s="11" t="n">
        <v>0</v>
      </c>
      <c r="N6" s="11" t="n">
        <v>0</v>
      </c>
      <c r="O6" s="11" t="n">
        <v>8.993610895522391</v>
      </c>
      <c r="P6" s="11" t="n">
        <v>0.165736902089552</v>
      </c>
      <c r="Q6" s="11">
        <f>SUM(M6:P6)</f>
        <v/>
      </c>
      <c r="S6" s="46">
        <f>H6/I6</f>
        <v/>
      </c>
    </row>
    <row r="7">
      <c r="A7" s="12" t="n">
        <v>4</v>
      </c>
      <c r="B7" s="13" t="inlineStr">
        <is>
          <t>thymol:camphor [30C] - PHE 20</t>
        </is>
      </c>
      <c r="C7" s="13" t="inlineStr">
        <is>
          <t>THY:CAM-30C - PHE 20</t>
        </is>
      </c>
      <c r="D7" s="12" t="n">
        <v>20</v>
      </c>
      <c r="E7" s="14" t="inlineStr">
        <is>
          <t>thymol</t>
        </is>
      </c>
      <c r="F7" s="14" t="inlineStr">
        <is>
          <t>camphor</t>
        </is>
      </c>
      <c r="G7" s="15" t="inlineStr">
        <is>
          <t>OK</t>
        </is>
      </c>
      <c r="H7" s="16" t="n">
        <v>9.15539388888889</v>
      </c>
      <c r="I7" s="16" t="n">
        <v>6.55373833333333</v>
      </c>
      <c r="J7" s="16" t="n">
        <v>0.119497944444444</v>
      </c>
      <c r="K7" s="16" t="n">
        <v>0.485002166666667</v>
      </c>
      <c r="L7" s="16">
        <f>SUM(H7:K7)</f>
        <v/>
      </c>
      <c r="M7" s="16" t="n">
        <v>0.0121634763380282</v>
      </c>
      <c r="N7" s="16" t="n">
        <v>0.0381865098591549</v>
      </c>
      <c r="O7" s="16" t="n">
        <v>8.22745549295775</v>
      </c>
      <c r="P7" s="16" t="n">
        <v>0.0150992338028169</v>
      </c>
      <c r="Q7" s="16">
        <f>SUM(M7:P7)</f>
        <v/>
      </c>
      <c r="S7" s="46">
        <f>H7/I7</f>
        <v/>
      </c>
    </row>
    <row r="8">
      <c r="A8" s="7" t="n">
        <v>5</v>
      </c>
      <c r="B8" s="8" t="inlineStr">
        <is>
          <t>thymol:carvone [30C] - PHE 20</t>
        </is>
      </c>
      <c r="C8" s="8" t="inlineStr">
        <is>
          <t>THY:CVN-30C - PHE 20</t>
        </is>
      </c>
      <c r="D8" s="7" t="n">
        <v>20</v>
      </c>
      <c r="E8" s="9" t="inlineStr">
        <is>
          <t>thymol</t>
        </is>
      </c>
      <c r="F8" s="9" t="inlineStr">
        <is>
          <t>carvone</t>
        </is>
      </c>
      <c r="G8" s="10" t="inlineStr">
        <is>
          <t>OK</t>
        </is>
      </c>
      <c r="H8" s="11" t="n">
        <v>7.74523941176471</v>
      </c>
      <c r="I8" s="11" t="n">
        <v>9.176308823529411</v>
      </c>
      <c r="J8" s="11" t="n">
        <v>0.0400452705882353</v>
      </c>
      <c r="K8" s="11" t="n">
        <v>0.387265117647059</v>
      </c>
      <c r="L8" s="11">
        <f>SUM(H8:K8)</f>
        <v/>
      </c>
      <c r="M8" s="11" t="n">
        <v>0.009566126944444441</v>
      </c>
      <c r="N8" s="11" t="n">
        <v>0.00107192441666667</v>
      </c>
      <c r="O8" s="11" t="n">
        <v>8.255680416666671</v>
      </c>
      <c r="P8" s="11" t="n">
        <v>0.0106067965277778</v>
      </c>
      <c r="Q8" s="11">
        <f>SUM(M8:P8)</f>
        <v/>
      </c>
      <c r="S8" s="46">
        <f>H8/I8</f>
        <v/>
      </c>
    </row>
    <row r="9" ht="24" customHeight="1">
      <c r="A9" s="17" t="n">
        <v>6</v>
      </c>
      <c r="B9" s="18" t="inlineStr">
        <is>
          <t>thymol:carvacrol [30C] - PHE 20</t>
        </is>
      </c>
      <c r="C9" s="18" t="inlineStr">
        <is>
          <t>THY:CVC-30C - PHE 20</t>
        </is>
      </c>
      <c r="D9" s="17" t="n">
        <v>20</v>
      </c>
      <c r="E9" s="19" t="inlineStr">
        <is>
          <t>thymol</t>
        </is>
      </c>
      <c r="F9" s="19" t="inlineStr">
        <is>
          <t>carvacrol</t>
        </is>
      </c>
      <c r="G9" s="20" t="inlineStr">
        <is>
          <t>Bad initial configuration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S9" s="46" t="n"/>
    </row>
    <row r="10">
      <c r="A10" s="22" t="n">
        <v>7</v>
      </c>
      <c r="B10" s="23" t="inlineStr">
        <is>
          <t>thymol:eugenol [30C] - PHE 20</t>
        </is>
      </c>
      <c r="C10" s="23" t="inlineStr">
        <is>
          <t>THY:EUG-30C - PHE 20</t>
        </is>
      </c>
      <c r="D10" s="22" t="n">
        <v>20</v>
      </c>
      <c r="E10" s="24" t="inlineStr">
        <is>
          <t>thymol</t>
        </is>
      </c>
      <c r="F10" s="24" t="inlineStr">
        <is>
          <t>eugenol</t>
        </is>
      </c>
      <c r="G10" s="25" t="inlineStr">
        <is>
          <t>More simulation time</t>
        </is>
      </c>
      <c r="H10" s="26" t="n">
        <v>7.93083388888889</v>
      </c>
      <c r="I10" s="26" t="n">
        <v>9.55509777777778</v>
      </c>
      <c r="J10" s="26" t="n">
        <v>0.08853946666666671</v>
      </c>
      <c r="K10" s="26" t="n">
        <v>0.284166611111111</v>
      </c>
      <c r="L10" s="26">
        <f>SUM(H10:K10)</f>
        <v/>
      </c>
      <c r="M10" s="26" t="n">
        <v>0</v>
      </c>
      <c r="N10" s="26" t="n">
        <v>0</v>
      </c>
      <c r="O10" s="26" t="n">
        <v>9.185577</v>
      </c>
      <c r="P10" s="26" t="n">
        <v>0.1187008629</v>
      </c>
      <c r="Q10" s="26">
        <f>SUM(M10:P10)</f>
        <v/>
      </c>
      <c r="S10" s="46">
        <f>H10/I10</f>
        <v/>
      </c>
    </row>
    <row r="11">
      <c r="A11" s="27" t="n">
        <v>8</v>
      </c>
      <c r="B11" s="28" t="inlineStr">
        <is>
          <t>thymol:geraniol [30C] - PHE 20</t>
        </is>
      </c>
      <c r="C11" s="28" t="inlineStr">
        <is>
          <t>THY:GER-30C - PHE 20</t>
        </is>
      </c>
      <c r="D11" s="27" t="n">
        <v>20</v>
      </c>
      <c r="E11" s="29" t="inlineStr">
        <is>
          <t>thymol</t>
        </is>
      </c>
      <c r="F11" s="29" t="inlineStr">
        <is>
          <t>geraniol</t>
        </is>
      </c>
      <c r="G11" s="30" t="inlineStr">
        <is>
          <t>Simulation failed</t>
        </is>
      </c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S11" s="46" t="n"/>
    </row>
    <row r="12">
      <c r="A12" s="7" t="n">
        <v>9</v>
      </c>
      <c r="B12" s="8" t="inlineStr">
        <is>
          <t>camphor:carvone [30C] - PHE 40</t>
        </is>
      </c>
      <c r="C12" s="8" t="inlineStr">
        <is>
          <t>CAM:CVN-30C - PHE 40</t>
        </is>
      </c>
      <c r="D12" s="7" t="n">
        <v>40</v>
      </c>
      <c r="E12" s="9" t="inlineStr">
        <is>
          <t>camphor</t>
        </is>
      </c>
      <c r="F12" s="9" t="inlineStr">
        <is>
          <t>carvone</t>
        </is>
      </c>
      <c r="G12" s="10" t="inlineStr">
        <is>
          <t>OK</t>
        </is>
      </c>
      <c r="H12" s="11" t="n">
        <v>6.552365</v>
      </c>
      <c r="I12" s="11" t="n">
        <v>10.4909722222222</v>
      </c>
      <c r="J12" s="11" t="n">
        <v>0.0421447055555556</v>
      </c>
      <c r="K12" s="11" t="n">
        <v>0.786069444444444</v>
      </c>
      <c r="L12" s="11">
        <f>SUM(H12:K12)</f>
        <v/>
      </c>
      <c r="M12" s="11" t="n">
        <v>0.0348740771428572</v>
      </c>
      <c r="N12" s="11" t="n">
        <v>0.000427888617142857</v>
      </c>
      <c r="O12" s="11" t="n">
        <v>8.227233285714281</v>
      </c>
      <c r="P12" s="11" t="n">
        <v>0.0393327028571429</v>
      </c>
      <c r="Q12" s="11">
        <f>SUM(M12:P12)</f>
        <v/>
      </c>
      <c r="S12" s="46">
        <f>H12/I12</f>
        <v/>
      </c>
    </row>
    <row r="13">
      <c r="A13" s="27" t="n">
        <v>10</v>
      </c>
      <c r="B13" s="28" t="inlineStr">
        <is>
          <t>camphor:carvacrol [30C] - PHE 40</t>
        </is>
      </c>
      <c r="C13" s="28" t="inlineStr">
        <is>
          <t>CAM:CVC-30C - PHE 40</t>
        </is>
      </c>
      <c r="D13" s="27" t="n">
        <v>40</v>
      </c>
      <c r="E13" s="29" t="inlineStr">
        <is>
          <t>camphor</t>
        </is>
      </c>
      <c r="F13" s="29" t="inlineStr">
        <is>
          <t>carvacrol</t>
        </is>
      </c>
      <c r="G13" s="30" t="inlineStr">
        <is>
          <t>Simulation failed</t>
        </is>
      </c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S13" s="46" t="n"/>
    </row>
    <row r="14">
      <c r="A14" s="7" t="n">
        <v>11</v>
      </c>
      <c r="B14" s="8" t="inlineStr">
        <is>
          <t>camphor:eugenol [30C] - PHE 40</t>
        </is>
      </c>
      <c r="C14" s="8" t="inlineStr">
        <is>
          <t>CAM:EUG-30C - PHE 40</t>
        </is>
      </c>
      <c r="D14" s="7" t="n">
        <v>40</v>
      </c>
      <c r="E14" s="9" t="inlineStr">
        <is>
          <t>camphor</t>
        </is>
      </c>
      <c r="F14" s="9" t="inlineStr">
        <is>
          <t>eugenol</t>
        </is>
      </c>
      <c r="G14" s="10" t="inlineStr">
        <is>
          <t>OK</t>
        </is>
      </c>
      <c r="H14" s="11" t="n">
        <v>6.47996444444445</v>
      </c>
      <c r="I14" s="11" t="n">
        <v>10.9336611111111</v>
      </c>
      <c r="J14" s="11" t="n">
        <v>0.1553075</v>
      </c>
      <c r="K14" s="11" t="n">
        <v>0.999876888888889</v>
      </c>
      <c r="L14" s="11">
        <f>SUM(H14:K14)</f>
        <v/>
      </c>
      <c r="M14" s="11" t="n">
        <v>0.0412431746478873</v>
      </c>
      <c r="N14" s="11" t="n">
        <v>0.0173666450704225</v>
      </c>
      <c r="O14" s="11" t="n">
        <v>8.23329126760563</v>
      </c>
      <c r="P14" s="11" t="n">
        <v>0.0200721746478873</v>
      </c>
      <c r="Q14" s="11">
        <f>SUM(M14:P14)</f>
        <v/>
      </c>
      <c r="S14" s="46">
        <f>H14/I14</f>
        <v/>
      </c>
    </row>
    <row r="15">
      <c r="A15" s="12" t="n">
        <v>12</v>
      </c>
      <c r="B15" s="13" t="inlineStr">
        <is>
          <t>thymol:camphor [30C] - PHE 40</t>
        </is>
      </c>
      <c r="C15" s="13" t="inlineStr">
        <is>
          <t>THY:CAM-30C - PHE 40</t>
        </is>
      </c>
      <c r="D15" s="12" t="n">
        <v>40</v>
      </c>
      <c r="E15" s="14" t="inlineStr">
        <is>
          <t>thymol</t>
        </is>
      </c>
      <c r="F15" s="14" t="inlineStr">
        <is>
          <t>camphor</t>
        </is>
      </c>
      <c r="G15" s="15" t="inlineStr">
        <is>
          <t>OK</t>
        </is>
      </c>
      <c r="H15" s="16" t="n">
        <v>8.926626666666669</v>
      </c>
      <c r="I15" s="16" t="n">
        <v>6.42046666666667</v>
      </c>
      <c r="J15" s="16" t="n">
        <v>0.123553222222222</v>
      </c>
      <c r="K15" s="16" t="n">
        <v>0.952711</v>
      </c>
      <c r="L15" s="16">
        <f>SUM(H15:K15)</f>
        <v/>
      </c>
      <c r="M15" s="16" t="n">
        <v>0.0101553759722222</v>
      </c>
      <c r="N15" s="16" t="n">
        <v>0.0338912375</v>
      </c>
      <c r="O15" s="16" t="n">
        <v>8.22829388888889</v>
      </c>
      <c r="P15" s="16" t="n">
        <v>0.021091425</v>
      </c>
      <c r="Q15" s="16">
        <f>SUM(M15:P15)</f>
        <v/>
      </c>
      <c r="S15" s="46">
        <f>H15/I15</f>
        <v/>
      </c>
    </row>
    <row r="16">
      <c r="A16" s="7" t="n">
        <v>13</v>
      </c>
      <c r="B16" s="8" t="inlineStr">
        <is>
          <t>thymol:carvone [30C] - PHE 40</t>
        </is>
      </c>
      <c r="C16" s="8" t="inlineStr">
        <is>
          <t>THY:CVN-30C - PHE 40</t>
        </is>
      </c>
      <c r="D16" s="7" t="n">
        <v>40</v>
      </c>
      <c r="E16" s="9" t="inlineStr">
        <is>
          <t>thymol</t>
        </is>
      </c>
      <c r="F16" s="9" t="inlineStr">
        <is>
          <t>carvone</t>
        </is>
      </c>
      <c r="G16" s="10" t="inlineStr">
        <is>
          <t>OK</t>
        </is>
      </c>
      <c r="H16" s="11" t="n">
        <v>7.65118764705882</v>
      </c>
      <c r="I16" s="11" t="n">
        <v>8.95351588235294</v>
      </c>
      <c r="J16" s="11" t="n">
        <v>0.0426961823529412</v>
      </c>
      <c r="K16" s="11" t="n">
        <v>0.766501941176471</v>
      </c>
      <c r="L16" s="11">
        <f>SUM(H16:K16)</f>
        <v/>
      </c>
      <c r="M16" s="11" t="n">
        <v>0.00944930095890411</v>
      </c>
      <c r="N16" s="11" t="n">
        <v>0.000121334598630137</v>
      </c>
      <c r="O16" s="11" t="n">
        <v>8.251813287671229</v>
      </c>
      <c r="P16" s="11" t="n">
        <v>0.0263215506849315</v>
      </c>
      <c r="Q16" s="11">
        <f>SUM(M16:P16)</f>
        <v/>
      </c>
      <c r="S16" s="46">
        <f>H16/I16</f>
        <v/>
      </c>
    </row>
    <row r="17" ht="24" customHeight="1">
      <c r="A17" s="17" t="n">
        <v>14</v>
      </c>
      <c r="B17" s="18" t="inlineStr">
        <is>
          <t>thymol:carvacrol [30C] - PHE 40</t>
        </is>
      </c>
      <c r="C17" s="18" t="inlineStr">
        <is>
          <t>THY:CVC-30C - PHE 40</t>
        </is>
      </c>
      <c r="D17" s="17" t="n">
        <v>40</v>
      </c>
      <c r="E17" s="19" t="inlineStr">
        <is>
          <t>thymol</t>
        </is>
      </c>
      <c r="F17" s="19" t="inlineStr">
        <is>
          <t>carvacrol</t>
        </is>
      </c>
      <c r="G17" s="20" t="inlineStr">
        <is>
          <t>Bad initial configuration</t>
        </is>
      </c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S17" s="46" t="n"/>
    </row>
    <row r="18">
      <c r="A18" s="27" t="n">
        <v>15</v>
      </c>
      <c r="B18" s="28" t="inlineStr">
        <is>
          <t>thymol:eugenol [30C] - PHE 40</t>
        </is>
      </c>
      <c r="C18" s="28" t="inlineStr">
        <is>
          <t>THY:EUG-30C - PHE 40</t>
        </is>
      </c>
      <c r="D18" s="27" t="n">
        <v>40</v>
      </c>
      <c r="E18" s="29" t="inlineStr">
        <is>
          <t>thymol</t>
        </is>
      </c>
      <c r="F18" s="29" t="inlineStr">
        <is>
          <t>eugenol</t>
        </is>
      </c>
      <c r="G18" s="30" t="inlineStr">
        <is>
          <t>Simulation failed</t>
        </is>
      </c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S18" s="46" t="n"/>
    </row>
    <row r="19">
      <c r="A19" s="27" t="n">
        <v>16</v>
      </c>
      <c r="B19" s="28" t="inlineStr">
        <is>
          <t>thymol:geraniol [30C] - PHE 40</t>
        </is>
      </c>
      <c r="C19" s="28" t="inlineStr">
        <is>
          <t>THY:GER-30C - PHE 40</t>
        </is>
      </c>
      <c r="D19" s="27" t="n">
        <v>40</v>
      </c>
      <c r="E19" s="29" t="inlineStr">
        <is>
          <t>thymol</t>
        </is>
      </c>
      <c r="F19" s="29" t="inlineStr">
        <is>
          <t>geraniol</t>
        </is>
      </c>
      <c r="G19" s="30" t="inlineStr">
        <is>
          <t>Simulation failed</t>
        </is>
      </c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S19" s="46" t="n"/>
    </row>
    <row r="20">
      <c r="A20" s="7" t="n">
        <v>17</v>
      </c>
      <c r="B20" s="8" t="inlineStr">
        <is>
          <t>camphor:carvone [30C] - PHE 80</t>
        </is>
      </c>
      <c r="C20" s="8" t="inlineStr">
        <is>
          <t>CAM:CVN-30C - PHE 80</t>
        </is>
      </c>
      <c r="D20" s="7" t="n">
        <v>80</v>
      </c>
      <c r="E20" s="9" t="inlineStr">
        <is>
          <t>camphor</t>
        </is>
      </c>
      <c r="F20" s="9" t="inlineStr">
        <is>
          <t>carvone</t>
        </is>
      </c>
      <c r="G20" s="10" t="inlineStr">
        <is>
          <t>OK</t>
        </is>
      </c>
      <c r="H20" s="11" t="n">
        <v>6.39362</v>
      </c>
      <c r="I20" s="11" t="n">
        <v>10.0122355555556</v>
      </c>
      <c r="J20" s="11" t="n">
        <v>0.0492981888888889</v>
      </c>
      <c r="K20" s="11" t="n">
        <v>1.53927888888889</v>
      </c>
      <c r="L20" s="11">
        <f>SUM(H20:K20)</f>
        <v/>
      </c>
      <c r="M20" s="11" t="n">
        <v>0.0309865774647887</v>
      </c>
      <c r="N20" s="11" t="n">
        <v>0.00221395183098592</v>
      </c>
      <c r="O20" s="11" t="n">
        <v>8.21782070422535</v>
      </c>
      <c r="P20" s="11" t="n">
        <v>0.0735362225352113</v>
      </c>
      <c r="Q20" s="11">
        <f>SUM(M20:P20)</f>
        <v/>
      </c>
      <c r="S20" s="46">
        <f>H20/I20</f>
        <v/>
      </c>
    </row>
    <row r="21">
      <c r="A21" s="27" t="n">
        <v>18</v>
      </c>
      <c r="B21" s="28" t="inlineStr">
        <is>
          <t>camphor:carvacrol [30C] - PHE 80</t>
        </is>
      </c>
      <c r="C21" s="28" t="inlineStr">
        <is>
          <t>CAM:CVC-30C - PHE 80</t>
        </is>
      </c>
      <c r="D21" s="27" t="n">
        <v>80</v>
      </c>
      <c r="E21" s="29" t="inlineStr">
        <is>
          <t>camphor</t>
        </is>
      </c>
      <c r="F21" s="29" t="inlineStr">
        <is>
          <t>carvacrol</t>
        </is>
      </c>
      <c r="G21" s="30" t="inlineStr">
        <is>
          <t>Simulation failed</t>
        </is>
      </c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S21" s="46" t="n"/>
    </row>
    <row r="22">
      <c r="A22" s="7" t="n">
        <v>19</v>
      </c>
      <c r="B22" s="8" t="inlineStr">
        <is>
          <t>camphor:eugenol [30C] - PHE 80</t>
        </is>
      </c>
      <c r="C22" s="8" t="inlineStr">
        <is>
          <t>CAM:EUG-30C - PHE 80</t>
        </is>
      </c>
      <c r="D22" s="7" t="n">
        <v>80</v>
      </c>
      <c r="E22" s="9" t="inlineStr">
        <is>
          <t>camphor</t>
        </is>
      </c>
      <c r="F22" s="9" t="inlineStr">
        <is>
          <t>eugenol</t>
        </is>
      </c>
      <c r="G22" s="10" t="inlineStr">
        <is>
          <t>OK</t>
        </is>
      </c>
      <c r="H22" s="11" t="n">
        <v>6.19160411764706</v>
      </c>
      <c r="I22" s="11" t="n">
        <v>10.3757823529412</v>
      </c>
      <c r="J22" s="11" t="n">
        <v>0.16448</v>
      </c>
      <c r="K22" s="11" t="n">
        <v>1.94301176470588</v>
      </c>
      <c r="L22" s="11">
        <f>SUM(H22:K22)</f>
        <v/>
      </c>
      <c r="M22" s="11" t="n">
        <v>0.0375298722222222</v>
      </c>
      <c r="N22" s="11" t="n">
        <v>0.009452205972222219</v>
      </c>
      <c r="O22" s="11" t="n">
        <v>8.23051402777778</v>
      </c>
      <c r="P22" s="11" t="n">
        <v>0.0499722972222222</v>
      </c>
      <c r="Q22" s="11">
        <f>SUM(M22:P22)</f>
        <v/>
      </c>
      <c r="S22" s="46">
        <f>H22/I22</f>
        <v/>
      </c>
    </row>
    <row r="23">
      <c r="A23" s="12" t="n">
        <v>20</v>
      </c>
      <c r="B23" s="13" t="inlineStr">
        <is>
          <t>thymol:camphor [30C] - PHE 80</t>
        </is>
      </c>
      <c r="C23" s="13" t="inlineStr">
        <is>
          <t>THY:CAM-30C - PHE 80</t>
        </is>
      </c>
      <c r="D23" s="12" t="n">
        <v>80</v>
      </c>
      <c r="E23" s="14" t="inlineStr">
        <is>
          <t>thymol</t>
        </is>
      </c>
      <c r="F23" s="14" t="inlineStr">
        <is>
          <t>camphor</t>
        </is>
      </c>
      <c r="G23" s="15" t="inlineStr">
        <is>
          <t>OK</t>
        </is>
      </c>
      <c r="H23" s="16" t="n">
        <v>8.49702882352941</v>
      </c>
      <c r="I23" s="16" t="n">
        <v>6.12847058823529</v>
      </c>
      <c r="J23" s="16" t="n">
        <v>0.136441294117647</v>
      </c>
      <c r="K23" s="16" t="n">
        <v>1.87983705882353</v>
      </c>
      <c r="L23" s="16">
        <f>SUM(H23:K23)</f>
        <v/>
      </c>
      <c r="M23" s="16" t="n">
        <v>0.00610277777777778</v>
      </c>
      <c r="N23" s="16" t="n">
        <v>0.0393497847222222</v>
      </c>
      <c r="O23" s="16" t="n">
        <v>8.223141388888889</v>
      </c>
      <c r="P23" s="16" t="n">
        <v>0.0417811791666667</v>
      </c>
      <c r="Q23" s="16">
        <f>SUM(M23:P23)</f>
        <v/>
      </c>
      <c r="S23" s="46">
        <f>H23/I23</f>
        <v/>
      </c>
    </row>
    <row r="24">
      <c r="A24" s="27" t="n">
        <v>21</v>
      </c>
      <c r="B24" s="28" t="inlineStr">
        <is>
          <t>thymol:carvone [30C] - PHE 80</t>
        </is>
      </c>
      <c r="C24" s="28" t="inlineStr">
        <is>
          <t>THY:CVN-30C - PHE 80</t>
        </is>
      </c>
      <c r="D24" s="27" t="n">
        <v>80</v>
      </c>
      <c r="E24" s="29" t="inlineStr">
        <is>
          <t>thymol</t>
        </is>
      </c>
      <c r="F24" s="29" t="inlineStr">
        <is>
          <t>carvone</t>
        </is>
      </c>
      <c r="G24" s="30" t="inlineStr">
        <is>
          <t>Simulation failed</t>
        </is>
      </c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S24" s="46" t="n"/>
    </row>
    <row r="25">
      <c r="A25" s="22" t="n">
        <v>22</v>
      </c>
      <c r="B25" s="23" t="inlineStr">
        <is>
          <t>thymol:carvacrol [30C] - PHE 80</t>
        </is>
      </c>
      <c r="C25" s="23" t="inlineStr">
        <is>
          <t>THY:CVC-30C - PHE 80</t>
        </is>
      </c>
      <c r="D25" s="22" t="n">
        <v>80</v>
      </c>
      <c r="E25" s="24" t="inlineStr">
        <is>
          <t>thymol</t>
        </is>
      </c>
      <c r="F25" s="24" t="inlineStr">
        <is>
          <t>carvacrol</t>
        </is>
      </c>
      <c r="G25" s="25" t="inlineStr">
        <is>
          <t>More simulation time</t>
        </is>
      </c>
      <c r="H25" s="26" t="n">
        <v>7.42006055555556</v>
      </c>
      <c r="I25" s="26" t="n">
        <v>7.49236555555556</v>
      </c>
      <c r="J25" s="26" t="n">
        <v>0.0758061888888889</v>
      </c>
      <c r="K25" s="26" t="n">
        <v>1.24152166666667</v>
      </c>
      <c r="L25" s="26">
        <f>SUM(H25:K25)</f>
        <v/>
      </c>
      <c r="M25" s="26" t="n">
        <v>2.20385285714286e-06</v>
      </c>
      <c r="N25" s="26" t="n">
        <v>2.94198571428571e-06</v>
      </c>
      <c r="O25" s="26" t="n">
        <v>9.29442185714286</v>
      </c>
      <c r="P25" s="26" t="n">
        <v>0.338381385728572</v>
      </c>
      <c r="Q25" s="26">
        <f>SUM(M25:P25)</f>
        <v/>
      </c>
      <c r="S25" s="46">
        <f>H25/I25</f>
        <v/>
      </c>
    </row>
    <row r="26">
      <c r="A26" s="27" t="n">
        <v>23</v>
      </c>
      <c r="B26" s="28" t="inlineStr">
        <is>
          <t>thymol:eugenol [30C] - PHE 80</t>
        </is>
      </c>
      <c r="C26" s="28" t="inlineStr">
        <is>
          <t>THY:EUG-30C - PHE 80</t>
        </is>
      </c>
      <c r="D26" s="27" t="n">
        <v>80</v>
      </c>
      <c r="E26" s="29" t="inlineStr">
        <is>
          <t>thymol</t>
        </is>
      </c>
      <c r="F26" s="29" t="inlineStr">
        <is>
          <t>eugenol</t>
        </is>
      </c>
      <c r="G26" s="30" t="inlineStr">
        <is>
          <t>Simulation failed</t>
        </is>
      </c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S26" s="46" t="n"/>
    </row>
    <row r="27">
      <c r="A27" s="12" t="n">
        <v>24</v>
      </c>
      <c r="B27" s="13" t="inlineStr">
        <is>
          <t>thymol:geraniol [30C] - PHE 80</t>
        </is>
      </c>
      <c r="C27" s="13" t="inlineStr">
        <is>
          <t>THY:GER-30C - PHE 80</t>
        </is>
      </c>
      <c r="D27" s="12" t="n">
        <v>80</v>
      </c>
      <c r="E27" s="14" t="inlineStr">
        <is>
          <t>thymol</t>
        </is>
      </c>
      <c r="F27" s="14" t="inlineStr">
        <is>
          <t>geraniol</t>
        </is>
      </c>
      <c r="G27" s="15" t="inlineStr">
        <is>
          <t>OK</t>
        </is>
      </c>
      <c r="H27" s="16" t="n">
        <v>7.080941875</v>
      </c>
      <c r="I27" s="16" t="n">
        <v>6.78805</v>
      </c>
      <c r="J27" s="16" t="n">
        <v>0.116926125</v>
      </c>
      <c r="K27" s="16" t="n">
        <v>1.5348225</v>
      </c>
      <c r="L27" s="16">
        <f>SUM(H27:K27)</f>
        <v/>
      </c>
      <c r="M27" s="16" t="n">
        <v>0.00663786853333334</v>
      </c>
      <c r="N27" s="16" t="n">
        <v>0.00369892173333333</v>
      </c>
      <c r="O27" s="16" t="n">
        <v>8.2442376</v>
      </c>
      <c r="P27" s="16" t="n">
        <v>0.0592867786666667</v>
      </c>
      <c r="Q27" s="16">
        <f>SUM(M27:P27)</f>
        <v/>
      </c>
      <c r="S27" s="46">
        <f>H27/I27</f>
        <v/>
      </c>
    </row>
  </sheetData>
  <mergeCells count="4">
    <mergeCell ref="H2:L2"/>
    <mergeCell ref="A2:G2"/>
    <mergeCell ref="A1:Q1"/>
    <mergeCell ref="M2:Q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1" sqref="A1"/>
    </sheetView>
  </sheetViews>
  <sheetFormatPr baseColWidth="10" defaultColWidth="8.6640625" defaultRowHeight="15"/>
  <cols>
    <col width="4" customWidth="1" min="1" max="1"/>
    <col width="30" customWidth="1" min="2" max="2"/>
    <col width="20" customWidth="1" min="3" max="3"/>
    <col width="6" customWidth="1" min="4" max="4"/>
    <col width="11" customWidth="1" min="5" max="6"/>
    <col width="15" customWidth="1" min="7" max="7"/>
    <col width="10" customWidth="1" min="8" max="15"/>
  </cols>
  <sheetData>
    <row r="1" ht="21.75" customHeight="1">
      <c r="A1" s="5" t="inlineStr">
        <is>
          <t>Tie-lines — Mole fractions  (xᵢ = nᵢ / Σn per phase)</t>
        </is>
      </c>
    </row>
    <row r="2" ht="15" customHeight="1">
      <c r="A2" s="4" t="inlineStr">
        <is>
          <t>Identifiers</t>
        </is>
      </c>
      <c r="B2" s="47" t="n"/>
      <c r="C2" s="47" t="n"/>
      <c r="D2" s="47" t="n"/>
      <c r="E2" s="47" t="n"/>
      <c r="F2" s="47" t="n"/>
      <c r="G2" s="48" t="n"/>
      <c r="H2" s="3" t="inlineStr">
        <is>
          <t>DES-rich phase — mole fraction</t>
        </is>
      </c>
      <c r="I2" s="47" t="n"/>
      <c r="J2" s="47" t="n"/>
      <c r="K2" s="48" t="n"/>
      <c r="L2" s="2" t="inlineStr">
        <is>
          <t>Water-rich phase — mole fraction</t>
        </is>
      </c>
      <c r="M2" s="47" t="n"/>
      <c r="N2" s="47" t="n"/>
      <c r="O2" s="48" t="n"/>
    </row>
    <row r="3" ht="30" customHeight="1">
      <c r="A3" s="6" t="inlineStr">
        <is>
          <t>#</t>
        </is>
      </c>
      <c r="B3" s="6" t="inlineStr">
        <is>
          <t>System</t>
        </is>
      </c>
      <c r="C3" s="6" t="inlineStr">
        <is>
          <t>TAG</t>
        </is>
      </c>
      <c r="D3" s="6" t="inlineStr">
        <is>
          <t>PHE</t>
        </is>
      </c>
      <c r="E3" s="6" t="inlineStr">
        <is>
          <t>HBA</t>
        </is>
      </c>
      <c r="F3" s="6" t="inlineStr">
        <is>
          <t>HBD</t>
        </is>
      </c>
      <c r="G3" s="6" t="inlineStr">
        <is>
          <t>Status</t>
        </is>
      </c>
      <c r="H3" s="6" t="inlineStr">
        <is>
          <t>x(HBA)</t>
        </is>
      </c>
      <c r="I3" s="6" t="inlineStr">
        <is>
          <t>x(HBD)</t>
        </is>
      </c>
      <c r="J3" s="6" t="inlineStr">
        <is>
          <t>x(water)</t>
        </is>
      </c>
      <c r="K3" s="6" t="inlineStr">
        <is>
          <t>x(PHE)</t>
        </is>
      </c>
      <c r="L3" s="6" t="inlineStr">
        <is>
          <t>x(HBA)</t>
        </is>
      </c>
      <c r="M3" s="6" t="inlineStr">
        <is>
          <t>x(HBD)</t>
        </is>
      </c>
      <c r="N3" s="6" t="inlineStr">
        <is>
          <t>x(water)</t>
        </is>
      </c>
      <c r="O3" s="6" t="inlineStr">
        <is>
          <t>x(PHE)</t>
        </is>
      </c>
    </row>
    <row r="4">
      <c r="A4" s="7" t="n">
        <v>1</v>
      </c>
      <c r="B4" s="8" t="inlineStr">
        <is>
          <t>camphor:carvone [30C] - PHE 20</t>
        </is>
      </c>
      <c r="C4" s="8" t="inlineStr">
        <is>
          <t>CAM:CVN-30C - PHE 20</t>
        </is>
      </c>
      <c r="D4" s="7" t="n">
        <v>20</v>
      </c>
      <c r="E4" s="9" t="inlineStr">
        <is>
          <t>camphor</t>
        </is>
      </c>
      <c r="F4" s="9" t="inlineStr">
        <is>
          <t>carvone</t>
        </is>
      </c>
      <c r="G4" s="10" t="inlineStr">
        <is>
          <t>OK</t>
        </is>
      </c>
      <c r="H4" s="11">
        <f>IF('Number Density'!$L4=0,"",'Number Density'!H4/'Number Density'!$L4)</f>
        <v/>
      </c>
      <c r="I4" s="11">
        <f>IF('Number Density'!$L4=0,"",'Number Density'!I4/'Number Density'!$L4)</f>
        <v/>
      </c>
      <c r="J4" s="11">
        <f>IF('Number Density'!$L4=0,"",'Number Density'!J4/'Number Density'!$L4)</f>
        <v/>
      </c>
      <c r="K4" s="11">
        <f>IF('Number Density'!$L4=0,"",'Number Density'!K4/'Number Density'!$L4)</f>
        <v/>
      </c>
      <c r="L4" s="11">
        <f>IF('Number Density'!$Q4=0,"",'Number Density'!M4/'Number Density'!$Q4)</f>
        <v/>
      </c>
      <c r="M4" s="11">
        <f>IF('Number Density'!$Q4=0,"",'Number Density'!N4/'Number Density'!$Q4)</f>
        <v/>
      </c>
      <c r="N4" s="11">
        <f>IF('Number Density'!$Q4=0,"",'Number Density'!O4/'Number Density'!$Q4)</f>
        <v/>
      </c>
      <c r="O4" s="11">
        <f>IF('Number Density'!$Q4=0,"",'Number Density'!P4/'Number Density'!$Q4)</f>
        <v/>
      </c>
    </row>
    <row r="5">
      <c r="A5" s="12" t="n">
        <v>2</v>
      </c>
      <c r="B5" s="13" t="inlineStr">
        <is>
          <t>camphor:carvacrol [30C] - PHE 20</t>
        </is>
      </c>
      <c r="C5" s="13" t="inlineStr">
        <is>
          <t>CAM:CVC-30C - PHE 20</t>
        </is>
      </c>
      <c r="D5" s="12" t="n">
        <v>20</v>
      </c>
      <c r="E5" s="14" t="inlineStr">
        <is>
          <t>camphor</t>
        </is>
      </c>
      <c r="F5" s="14" t="inlineStr">
        <is>
          <t>carvacrol</t>
        </is>
      </c>
      <c r="G5" s="15" t="inlineStr">
        <is>
          <t>OK</t>
        </is>
      </c>
      <c r="H5" s="16">
        <f>IF('Number Density'!$L5=0,"",'Number Density'!H5/'Number Density'!$L5)</f>
        <v/>
      </c>
      <c r="I5" s="16">
        <f>IF('Number Density'!$L5=0,"",'Number Density'!I5/'Number Density'!$L5)</f>
        <v/>
      </c>
      <c r="J5" s="16">
        <f>IF('Number Density'!$L5=0,"",'Number Density'!J5/'Number Density'!$L5)</f>
        <v/>
      </c>
      <c r="K5" s="16">
        <f>IF('Number Density'!$L5=0,"",'Number Density'!K5/'Number Density'!$L5)</f>
        <v/>
      </c>
      <c r="L5" s="16">
        <f>IF('Number Density'!$Q5=0,"",'Number Density'!M5/'Number Density'!$Q5)</f>
        <v/>
      </c>
      <c r="M5" s="16">
        <f>IF('Number Density'!$Q5=0,"",'Number Density'!N5/'Number Density'!$Q5)</f>
        <v/>
      </c>
      <c r="N5" s="16">
        <f>IF('Number Density'!$Q5=0,"",'Number Density'!O5/'Number Density'!$Q5)</f>
        <v/>
      </c>
      <c r="O5" s="16">
        <f>IF('Number Density'!$Q5=0,"",'Number Density'!P5/'Number Density'!$Q5)</f>
        <v/>
      </c>
    </row>
    <row r="6">
      <c r="A6" s="7" t="n">
        <v>3</v>
      </c>
      <c r="B6" s="8" t="inlineStr">
        <is>
          <t>camphor:eugenol [30C] - PHE 20</t>
        </is>
      </c>
      <c r="C6" s="8" t="inlineStr">
        <is>
          <t>CAM:EUG-30C - PHE 20</t>
        </is>
      </c>
      <c r="D6" s="7" t="n">
        <v>20</v>
      </c>
      <c r="E6" s="9" t="inlineStr">
        <is>
          <t>camphor</t>
        </is>
      </c>
      <c r="F6" s="9" t="inlineStr">
        <is>
          <t>eugenol</t>
        </is>
      </c>
      <c r="G6" s="10" t="inlineStr">
        <is>
          <t>OK</t>
        </is>
      </c>
      <c r="H6" s="11">
        <f>IF('Number Density'!$L6=0,"",'Number Density'!H6/'Number Density'!$L6)</f>
        <v/>
      </c>
      <c r="I6" s="11">
        <f>IF('Number Density'!$L6=0,"",'Number Density'!I6/'Number Density'!$L6)</f>
        <v/>
      </c>
      <c r="J6" s="11">
        <f>IF('Number Density'!$L6=0,"",'Number Density'!J6/'Number Density'!$L6)</f>
        <v/>
      </c>
      <c r="K6" s="11">
        <f>IF('Number Density'!$L6=0,"",'Number Density'!K6/'Number Density'!$L6)</f>
        <v/>
      </c>
      <c r="L6" s="11">
        <f>IF('Number Density'!$Q6=0,"",'Number Density'!M6/'Number Density'!$Q6)</f>
        <v/>
      </c>
      <c r="M6" s="11">
        <f>IF('Number Density'!$Q6=0,"",'Number Density'!N6/'Number Density'!$Q6)</f>
        <v/>
      </c>
      <c r="N6" s="11">
        <f>IF('Number Density'!$Q6=0,"",'Number Density'!O6/'Number Density'!$Q6)</f>
        <v/>
      </c>
      <c r="O6" s="11">
        <f>IF('Number Density'!$Q6=0,"",'Number Density'!P6/'Number Density'!$Q6)</f>
        <v/>
      </c>
    </row>
    <row r="7">
      <c r="A7" s="12" t="n">
        <v>4</v>
      </c>
      <c r="B7" s="13" t="inlineStr">
        <is>
          <t>thymol:camphor [30C] - PHE 20</t>
        </is>
      </c>
      <c r="C7" s="13" t="inlineStr">
        <is>
          <t>THY:CAM-30C - PHE 20</t>
        </is>
      </c>
      <c r="D7" s="12" t="n">
        <v>20</v>
      </c>
      <c r="E7" s="14" t="inlineStr">
        <is>
          <t>thymol</t>
        </is>
      </c>
      <c r="F7" s="14" t="inlineStr">
        <is>
          <t>camphor</t>
        </is>
      </c>
      <c r="G7" s="15" t="inlineStr">
        <is>
          <t>OK</t>
        </is>
      </c>
      <c r="H7" s="16">
        <f>IF('Number Density'!$L7=0,"",'Number Density'!H7/'Number Density'!$L7)</f>
        <v/>
      </c>
      <c r="I7" s="16">
        <f>IF('Number Density'!$L7=0,"",'Number Density'!I7/'Number Density'!$L7)</f>
        <v/>
      </c>
      <c r="J7" s="16">
        <f>IF('Number Density'!$L7=0,"",'Number Density'!J7/'Number Density'!$L7)</f>
        <v/>
      </c>
      <c r="K7" s="16">
        <f>IF('Number Density'!$L7=0,"",'Number Density'!K7/'Number Density'!$L7)</f>
        <v/>
      </c>
      <c r="L7" s="16">
        <f>IF('Number Density'!$Q7=0,"",'Number Density'!M7/'Number Density'!$Q7)</f>
        <v/>
      </c>
      <c r="M7" s="16">
        <f>IF('Number Density'!$Q7=0,"",'Number Density'!N7/'Number Density'!$Q7)</f>
        <v/>
      </c>
      <c r="N7" s="16">
        <f>IF('Number Density'!$Q7=0,"",'Number Density'!O7/'Number Density'!$Q7)</f>
        <v/>
      </c>
      <c r="O7" s="16">
        <f>IF('Number Density'!$Q7=0,"",'Number Density'!P7/'Number Density'!$Q7)</f>
        <v/>
      </c>
    </row>
    <row r="8">
      <c r="A8" s="7" t="n">
        <v>5</v>
      </c>
      <c r="B8" s="8" t="inlineStr">
        <is>
          <t>thymol:carvone [30C] - PHE 20</t>
        </is>
      </c>
      <c r="C8" s="8" t="inlineStr">
        <is>
          <t>THY:CVN-30C - PHE 20</t>
        </is>
      </c>
      <c r="D8" s="7" t="n">
        <v>20</v>
      </c>
      <c r="E8" s="9" t="inlineStr">
        <is>
          <t>thymol</t>
        </is>
      </c>
      <c r="F8" s="9" t="inlineStr">
        <is>
          <t>carvone</t>
        </is>
      </c>
      <c r="G8" s="10" t="inlineStr">
        <is>
          <t>OK</t>
        </is>
      </c>
      <c r="H8" s="11">
        <f>IF('Number Density'!$L8=0,"",'Number Density'!H8/'Number Density'!$L8)</f>
        <v/>
      </c>
      <c r="I8" s="11">
        <f>IF('Number Density'!$L8=0,"",'Number Density'!I8/'Number Density'!$L8)</f>
        <v/>
      </c>
      <c r="J8" s="11">
        <f>IF('Number Density'!$L8=0,"",'Number Density'!J8/'Number Density'!$L8)</f>
        <v/>
      </c>
      <c r="K8" s="11">
        <f>IF('Number Density'!$L8=0,"",'Number Density'!K8/'Number Density'!$L8)</f>
        <v/>
      </c>
      <c r="L8" s="11">
        <f>IF('Number Density'!$Q8=0,"",'Number Density'!M8/'Number Density'!$Q8)</f>
        <v/>
      </c>
      <c r="M8" s="11">
        <f>IF('Number Density'!$Q8=0,"",'Number Density'!N8/'Number Density'!$Q8)</f>
        <v/>
      </c>
      <c r="N8" s="11">
        <f>IF('Number Density'!$Q8=0,"",'Number Density'!O8/'Number Density'!$Q8)</f>
        <v/>
      </c>
      <c r="O8" s="11">
        <f>IF('Number Density'!$Q8=0,"",'Number Density'!P8/'Number Density'!$Q8)</f>
        <v/>
      </c>
    </row>
    <row r="9" ht="24" customHeight="1">
      <c r="A9" s="17" t="n">
        <v>6</v>
      </c>
      <c r="B9" s="18" t="inlineStr">
        <is>
          <t>thymol:carvacrol [30C] - PHE 20</t>
        </is>
      </c>
      <c r="C9" s="18" t="inlineStr">
        <is>
          <t>THY:CVC-30C - PHE 20</t>
        </is>
      </c>
      <c r="D9" s="17" t="n">
        <v>20</v>
      </c>
      <c r="E9" s="19" t="inlineStr">
        <is>
          <t>thymol</t>
        </is>
      </c>
      <c r="F9" s="19" t="inlineStr">
        <is>
          <t>carvacrol</t>
        </is>
      </c>
      <c r="G9" s="20" t="inlineStr">
        <is>
          <t>Bad initial configuration</t>
        </is>
      </c>
      <c r="H9" s="21">
        <f>IF('Number Density'!$L9=0,"",'Number Density'!H9/'Number Density'!$L9)</f>
        <v/>
      </c>
      <c r="I9" s="21">
        <f>IF('Number Density'!$L9=0,"",'Number Density'!I9/'Number Density'!$L9)</f>
        <v/>
      </c>
      <c r="J9" s="21">
        <f>IF('Number Density'!$L9=0,"",'Number Density'!J9/'Number Density'!$L9)</f>
        <v/>
      </c>
      <c r="K9" s="21">
        <f>IF('Number Density'!$L9=0,"",'Number Density'!K9/'Number Density'!$L9)</f>
        <v/>
      </c>
      <c r="L9" s="21">
        <f>IF('Number Density'!$Q9=0,"",'Number Density'!M9/'Number Density'!$Q9)</f>
        <v/>
      </c>
      <c r="M9" s="21">
        <f>IF('Number Density'!$Q9=0,"",'Number Density'!N9/'Number Density'!$Q9)</f>
        <v/>
      </c>
      <c r="N9" s="21">
        <f>IF('Number Density'!$Q9=0,"",'Number Density'!O9/'Number Density'!$Q9)</f>
        <v/>
      </c>
      <c r="O9" s="21">
        <f>IF('Number Density'!$Q9=0,"",'Number Density'!P9/'Number Density'!$Q9)</f>
        <v/>
      </c>
    </row>
    <row r="10">
      <c r="A10" s="22" t="n">
        <v>7</v>
      </c>
      <c r="B10" s="23" t="inlineStr">
        <is>
          <t>thymol:eugenol [30C] - PHE 20</t>
        </is>
      </c>
      <c r="C10" s="23" t="inlineStr">
        <is>
          <t>THY:EUG-30C - PHE 20</t>
        </is>
      </c>
      <c r="D10" s="22" t="n">
        <v>20</v>
      </c>
      <c r="E10" s="24" t="inlineStr">
        <is>
          <t>thymol</t>
        </is>
      </c>
      <c r="F10" s="24" t="inlineStr">
        <is>
          <t>eugenol</t>
        </is>
      </c>
      <c r="G10" s="25" t="inlineStr">
        <is>
          <t>More simulation time</t>
        </is>
      </c>
      <c r="H10" s="26">
        <f>IF('Number Density'!$L10=0,"",'Number Density'!H10/'Number Density'!$L10)</f>
        <v/>
      </c>
      <c r="I10" s="26">
        <f>IF('Number Density'!$L10=0,"",'Number Density'!I10/'Number Density'!$L10)</f>
        <v/>
      </c>
      <c r="J10" s="26">
        <f>IF('Number Density'!$L10=0,"",'Number Density'!J10/'Number Density'!$L10)</f>
        <v/>
      </c>
      <c r="K10" s="26">
        <f>IF('Number Density'!$L10=0,"",'Number Density'!K10/'Number Density'!$L10)</f>
        <v/>
      </c>
      <c r="L10" s="26">
        <f>IF('Number Density'!$Q10=0,"",'Number Density'!M10/'Number Density'!$Q10)</f>
        <v/>
      </c>
      <c r="M10" s="26">
        <f>IF('Number Density'!$Q10=0,"",'Number Density'!N10/'Number Density'!$Q10)</f>
        <v/>
      </c>
      <c r="N10" s="26">
        <f>IF('Number Density'!$Q10=0,"",'Number Density'!O10/'Number Density'!$Q10)</f>
        <v/>
      </c>
      <c r="O10" s="26">
        <f>IF('Number Density'!$Q10=0,"",'Number Density'!P10/'Number Density'!$Q10)</f>
        <v/>
      </c>
    </row>
    <row r="11">
      <c r="A11" s="27" t="n">
        <v>8</v>
      </c>
      <c r="B11" s="28" t="inlineStr">
        <is>
          <t>thymol:geraniol [30C] - PHE 20</t>
        </is>
      </c>
      <c r="C11" s="28" t="inlineStr">
        <is>
          <t>THY:GER-30C - PHE 20</t>
        </is>
      </c>
      <c r="D11" s="27" t="n">
        <v>20</v>
      </c>
      <c r="E11" s="29" t="inlineStr">
        <is>
          <t>thymol</t>
        </is>
      </c>
      <c r="F11" s="29" t="inlineStr">
        <is>
          <t>geraniol</t>
        </is>
      </c>
      <c r="G11" s="30" t="inlineStr">
        <is>
          <t>Simulation failed</t>
        </is>
      </c>
      <c r="H11" s="31">
        <f>IF('Number Density'!$L11=0,"",'Number Density'!H11/'Number Density'!$L11)</f>
        <v/>
      </c>
      <c r="I11" s="31">
        <f>IF('Number Density'!$L11=0,"",'Number Density'!I11/'Number Density'!$L11)</f>
        <v/>
      </c>
      <c r="J11" s="31">
        <f>IF('Number Density'!$L11=0,"",'Number Density'!J11/'Number Density'!$L11)</f>
        <v/>
      </c>
      <c r="K11" s="31">
        <f>IF('Number Density'!$L11=0,"",'Number Density'!K11/'Number Density'!$L11)</f>
        <v/>
      </c>
      <c r="L11" s="31">
        <f>IF('Number Density'!$Q11=0,"",'Number Density'!M11/'Number Density'!$Q11)</f>
        <v/>
      </c>
      <c r="M11" s="31">
        <f>IF('Number Density'!$Q11=0,"",'Number Density'!N11/'Number Density'!$Q11)</f>
        <v/>
      </c>
      <c r="N11" s="31">
        <f>IF('Number Density'!$Q11=0,"",'Number Density'!O11/'Number Density'!$Q11)</f>
        <v/>
      </c>
      <c r="O11" s="31">
        <f>IF('Number Density'!$Q11=0,"",'Number Density'!P11/'Number Density'!$Q11)</f>
        <v/>
      </c>
    </row>
    <row r="12">
      <c r="A12" s="7" t="n">
        <v>9</v>
      </c>
      <c r="B12" s="8" t="inlineStr">
        <is>
          <t>camphor:carvone [30C] - PHE 40</t>
        </is>
      </c>
      <c r="C12" s="8" t="inlineStr">
        <is>
          <t>CAM:CVN-30C - PHE 40</t>
        </is>
      </c>
      <c r="D12" s="7" t="n">
        <v>40</v>
      </c>
      <c r="E12" s="9" t="inlineStr">
        <is>
          <t>camphor</t>
        </is>
      </c>
      <c r="F12" s="9" t="inlineStr">
        <is>
          <t>carvone</t>
        </is>
      </c>
      <c r="G12" s="10" t="inlineStr">
        <is>
          <t>OK</t>
        </is>
      </c>
      <c r="H12" s="11">
        <f>IF('Number Density'!$L12=0,"",'Number Density'!H12/'Number Density'!$L12)</f>
        <v/>
      </c>
      <c r="I12" s="11">
        <f>IF('Number Density'!$L12=0,"",'Number Density'!I12/'Number Density'!$L12)</f>
        <v/>
      </c>
      <c r="J12" s="11">
        <f>IF('Number Density'!$L12=0,"",'Number Density'!J12/'Number Density'!$L12)</f>
        <v/>
      </c>
      <c r="K12" s="11">
        <f>IF('Number Density'!$L12=0,"",'Number Density'!K12/'Number Density'!$L12)</f>
        <v/>
      </c>
      <c r="L12" s="11">
        <f>IF('Number Density'!$Q12=0,"",'Number Density'!M12/'Number Density'!$Q12)</f>
        <v/>
      </c>
      <c r="M12" s="11">
        <f>IF('Number Density'!$Q12=0,"",'Number Density'!N12/'Number Density'!$Q12)</f>
        <v/>
      </c>
      <c r="N12" s="11">
        <f>IF('Number Density'!$Q12=0,"",'Number Density'!O12/'Number Density'!$Q12)</f>
        <v/>
      </c>
      <c r="O12" s="11">
        <f>IF('Number Density'!$Q12=0,"",'Number Density'!P12/'Number Density'!$Q12)</f>
        <v/>
      </c>
    </row>
    <row r="13">
      <c r="A13" s="27" t="n">
        <v>10</v>
      </c>
      <c r="B13" s="28" t="inlineStr">
        <is>
          <t>camphor:carvacrol [30C] - PHE 40</t>
        </is>
      </c>
      <c r="C13" s="28" t="inlineStr">
        <is>
          <t>CAM:CVC-30C - PHE 40</t>
        </is>
      </c>
      <c r="D13" s="27" t="n">
        <v>40</v>
      </c>
      <c r="E13" s="29" t="inlineStr">
        <is>
          <t>camphor</t>
        </is>
      </c>
      <c r="F13" s="29" t="inlineStr">
        <is>
          <t>carvacrol</t>
        </is>
      </c>
      <c r="G13" s="30" t="inlineStr">
        <is>
          <t>Simulation failed</t>
        </is>
      </c>
      <c r="H13" s="31">
        <f>IF('Number Density'!$L13=0,"",'Number Density'!H13/'Number Density'!$L13)</f>
        <v/>
      </c>
      <c r="I13" s="31">
        <f>IF('Number Density'!$L13=0,"",'Number Density'!I13/'Number Density'!$L13)</f>
        <v/>
      </c>
      <c r="J13" s="31">
        <f>IF('Number Density'!$L13=0,"",'Number Density'!J13/'Number Density'!$L13)</f>
        <v/>
      </c>
      <c r="K13" s="31">
        <f>IF('Number Density'!$L13=0,"",'Number Density'!K13/'Number Density'!$L13)</f>
        <v/>
      </c>
      <c r="L13" s="31">
        <f>IF('Number Density'!$Q13=0,"",'Number Density'!M13/'Number Density'!$Q13)</f>
        <v/>
      </c>
      <c r="M13" s="31">
        <f>IF('Number Density'!$Q13=0,"",'Number Density'!N13/'Number Density'!$Q13)</f>
        <v/>
      </c>
      <c r="N13" s="31">
        <f>IF('Number Density'!$Q13=0,"",'Number Density'!O13/'Number Density'!$Q13)</f>
        <v/>
      </c>
      <c r="O13" s="31">
        <f>IF('Number Density'!$Q13=0,"",'Number Density'!P13/'Number Density'!$Q13)</f>
        <v/>
      </c>
    </row>
    <row r="14">
      <c r="A14" s="7" t="n">
        <v>11</v>
      </c>
      <c r="B14" s="8" t="inlineStr">
        <is>
          <t>camphor:eugenol [30C] - PHE 40</t>
        </is>
      </c>
      <c r="C14" s="8" t="inlineStr">
        <is>
          <t>CAM:EUG-30C - PHE 40</t>
        </is>
      </c>
      <c r="D14" s="7" t="n">
        <v>40</v>
      </c>
      <c r="E14" s="9" t="inlineStr">
        <is>
          <t>camphor</t>
        </is>
      </c>
      <c r="F14" s="9" t="inlineStr">
        <is>
          <t>eugenol</t>
        </is>
      </c>
      <c r="G14" s="10" t="inlineStr">
        <is>
          <t>OK</t>
        </is>
      </c>
      <c r="H14" s="11">
        <f>IF('Number Density'!$L14=0,"",'Number Density'!H14/'Number Density'!$L14)</f>
        <v/>
      </c>
      <c r="I14" s="11">
        <f>IF('Number Density'!$L14=0,"",'Number Density'!I14/'Number Density'!$L14)</f>
        <v/>
      </c>
      <c r="J14" s="11">
        <f>IF('Number Density'!$L14=0,"",'Number Density'!J14/'Number Density'!$L14)</f>
        <v/>
      </c>
      <c r="K14" s="11">
        <f>IF('Number Density'!$L14=0,"",'Number Density'!K14/'Number Density'!$L14)</f>
        <v/>
      </c>
      <c r="L14" s="11">
        <f>IF('Number Density'!$Q14=0,"",'Number Density'!M14/'Number Density'!$Q14)</f>
        <v/>
      </c>
      <c r="M14" s="11">
        <f>IF('Number Density'!$Q14=0,"",'Number Density'!N14/'Number Density'!$Q14)</f>
        <v/>
      </c>
      <c r="N14" s="11">
        <f>IF('Number Density'!$Q14=0,"",'Number Density'!O14/'Number Density'!$Q14)</f>
        <v/>
      </c>
      <c r="O14" s="11">
        <f>IF('Number Density'!$Q14=0,"",'Number Density'!P14/'Number Density'!$Q14)</f>
        <v/>
      </c>
    </row>
    <row r="15">
      <c r="A15" s="12" t="n">
        <v>12</v>
      </c>
      <c r="B15" s="13" t="inlineStr">
        <is>
          <t>thymol:camphor [30C] - PHE 40</t>
        </is>
      </c>
      <c r="C15" s="13" t="inlineStr">
        <is>
          <t>THY:CAM-30C - PHE 40</t>
        </is>
      </c>
      <c r="D15" s="12" t="n">
        <v>40</v>
      </c>
      <c r="E15" s="14" t="inlineStr">
        <is>
          <t>thymol</t>
        </is>
      </c>
      <c r="F15" s="14" t="inlineStr">
        <is>
          <t>camphor</t>
        </is>
      </c>
      <c r="G15" s="15" t="inlineStr">
        <is>
          <t>OK</t>
        </is>
      </c>
      <c r="H15" s="16">
        <f>IF('Number Density'!$L15=0,"",'Number Density'!H15/'Number Density'!$L15)</f>
        <v/>
      </c>
      <c r="I15" s="16">
        <f>IF('Number Density'!$L15=0,"",'Number Density'!I15/'Number Density'!$L15)</f>
        <v/>
      </c>
      <c r="J15" s="16">
        <f>IF('Number Density'!$L15=0,"",'Number Density'!J15/'Number Density'!$L15)</f>
        <v/>
      </c>
      <c r="K15" s="16">
        <f>IF('Number Density'!$L15=0,"",'Number Density'!K15/'Number Density'!$L15)</f>
        <v/>
      </c>
      <c r="L15" s="16">
        <f>IF('Number Density'!$Q15=0,"",'Number Density'!M15/'Number Density'!$Q15)</f>
        <v/>
      </c>
      <c r="M15" s="16">
        <f>IF('Number Density'!$Q15=0,"",'Number Density'!N15/'Number Density'!$Q15)</f>
        <v/>
      </c>
      <c r="N15" s="16">
        <f>IF('Number Density'!$Q15=0,"",'Number Density'!O15/'Number Density'!$Q15)</f>
        <v/>
      </c>
      <c r="O15" s="16">
        <f>IF('Number Density'!$Q15=0,"",'Number Density'!P15/'Number Density'!$Q15)</f>
        <v/>
      </c>
    </row>
    <row r="16">
      <c r="A16" s="7" t="n">
        <v>13</v>
      </c>
      <c r="B16" s="8" t="inlineStr">
        <is>
          <t>thymol:carvone [30C] - PHE 40</t>
        </is>
      </c>
      <c r="C16" s="8" t="inlineStr">
        <is>
          <t>THY:CVN-30C - PHE 40</t>
        </is>
      </c>
      <c r="D16" s="7" t="n">
        <v>40</v>
      </c>
      <c r="E16" s="9" t="inlineStr">
        <is>
          <t>thymol</t>
        </is>
      </c>
      <c r="F16" s="9" t="inlineStr">
        <is>
          <t>carvone</t>
        </is>
      </c>
      <c r="G16" s="10" t="inlineStr">
        <is>
          <t>OK</t>
        </is>
      </c>
      <c r="H16" s="11">
        <f>IF('Number Density'!$L16=0,"",'Number Density'!H16/'Number Density'!$L16)</f>
        <v/>
      </c>
      <c r="I16" s="11">
        <f>IF('Number Density'!$L16=0,"",'Number Density'!I16/'Number Density'!$L16)</f>
        <v/>
      </c>
      <c r="J16" s="11">
        <f>IF('Number Density'!$L16=0,"",'Number Density'!J16/'Number Density'!$L16)</f>
        <v/>
      </c>
      <c r="K16" s="11">
        <f>IF('Number Density'!$L16=0,"",'Number Density'!K16/'Number Density'!$L16)</f>
        <v/>
      </c>
      <c r="L16" s="11">
        <f>IF('Number Density'!$Q16=0,"",'Number Density'!M16/'Number Density'!$Q16)</f>
        <v/>
      </c>
      <c r="M16" s="11">
        <f>IF('Number Density'!$Q16=0,"",'Number Density'!N16/'Number Density'!$Q16)</f>
        <v/>
      </c>
      <c r="N16" s="11">
        <f>IF('Number Density'!$Q16=0,"",'Number Density'!O16/'Number Density'!$Q16)</f>
        <v/>
      </c>
      <c r="O16" s="11">
        <f>IF('Number Density'!$Q16=0,"",'Number Density'!P16/'Number Density'!$Q16)</f>
        <v/>
      </c>
    </row>
    <row r="17" ht="24" customHeight="1">
      <c r="A17" s="17" t="n">
        <v>14</v>
      </c>
      <c r="B17" s="18" t="inlineStr">
        <is>
          <t>thymol:carvacrol [30C] - PHE 40</t>
        </is>
      </c>
      <c r="C17" s="18" t="inlineStr">
        <is>
          <t>THY:CVC-30C - PHE 40</t>
        </is>
      </c>
      <c r="D17" s="17" t="n">
        <v>40</v>
      </c>
      <c r="E17" s="19" t="inlineStr">
        <is>
          <t>thymol</t>
        </is>
      </c>
      <c r="F17" s="19" t="inlineStr">
        <is>
          <t>carvacrol</t>
        </is>
      </c>
      <c r="G17" s="20" t="inlineStr">
        <is>
          <t>Bad initial configuration</t>
        </is>
      </c>
      <c r="H17" s="21">
        <f>IF('Number Density'!$L17=0,"",'Number Density'!H17/'Number Density'!$L17)</f>
        <v/>
      </c>
      <c r="I17" s="21">
        <f>IF('Number Density'!$L17=0,"",'Number Density'!I17/'Number Density'!$L17)</f>
        <v/>
      </c>
      <c r="J17" s="21">
        <f>IF('Number Density'!$L17=0,"",'Number Density'!J17/'Number Density'!$L17)</f>
        <v/>
      </c>
      <c r="K17" s="21">
        <f>IF('Number Density'!$L17=0,"",'Number Density'!K17/'Number Density'!$L17)</f>
        <v/>
      </c>
      <c r="L17" s="21">
        <f>IF('Number Density'!$Q17=0,"",'Number Density'!M17/'Number Density'!$Q17)</f>
        <v/>
      </c>
      <c r="M17" s="21">
        <f>IF('Number Density'!$Q17=0,"",'Number Density'!N17/'Number Density'!$Q17)</f>
        <v/>
      </c>
      <c r="N17" s="21">
        <f>IF('Number Density'!$Q17=0,"",'Number Density'!O17/'Number Density'!$Q17)</f>
        <v/>
      </c>
      <c r="O17" s="21">
        <f>IF('Number Density'!$Q17=0,"",'Number Density'!P17/'Number Density'!$Q17)</f>
        <v/>
      </c>
    </row>
    <row r="18">
      <c r="A18" s="27" t="n">
        <v>15</v>
      </c>
      <c r="B18" s="28" t="inlineStr">
        <is>
          <t>thymol:eugenol [30C] - PHE 40</t>
        </is>
      </c>
      <c r="C18" s="28" t="inlineStr">
        <is>
          <t>THY:EUG-30C - PHE 40</t>
        </is>
      </c>
      <c r="D18" s="27" t="n">
        <v>40</v>
      </c>
      <c r="E18" s="29" t="inlineStr">
        <is>
          <t>thymol</t>
        </is>
      </c>
      <c r="F18" s="29" t="inlineStr">
        <is>
          <t>eugenol</t>
        </is>
      </c>
      <c r="G18" s="30" t="inlineStr">
        <is>
          <t>Simulation failed</t>
        </is>
      </c>
      <c r="H18" s="31">
        <f>IF('Number Density'!$L18=0,"",'Number Density'!H18/'Number Density'!$L18)</f>
        <v/>
      </c>
      <c r="I18" s="31">
        <f>IF('Number Density'!$L18=0,"",'Number Density'!I18/'Number Density'!$L18)</f>
        <v/>
      </c>
      <c r="J18" s="31">
        <f>IF('Number Density'!$L18=0,"",'Number Density'!J18/'Number Density'!$L18)</f>
        <v/>
      </c>
      <c r="K18" s="31">
        <f>IF('Number Density'!$L18=0,"",'Number Density'!K18/'Number Density'!$L18)</f>
        <v/>
      </c>
      <c r="L18" s="31">
        <f>IF('Number Density'!$Q18=0,"",'Number Density'!M18/'Number Density'!$Q18)</f>
        <v/>
      </c>
      <c r="M18" s="31">
        <f>IF('Number Density'!$Q18=0,"",'Number Density'!N18/'Number Density'!$Q18)</f>
        <v/>
      </c>
      <c r="N18" s="31">
        <f>IF('Number Density'!$Q18=0,"",'Number Density'!O18/'Number Density'!$Q18)</f>
        <v/>
      </c>
      <c r="O18" s="31">
        <f>IF('Number Density'!$Q18=0,"",'Number Density'!P18/'Number Density'!$Q18)</f>
        <v/>
      </c>
    </row>
    <row r="19">
      <c r="A19" s="27" t="n">
        <v>16</v>
      </c>
      <c r="B19" s="28" t="inlineStr">
        <is>
          <t>thymol:geraniol [30C] - PHE 40</t>
        </is>
      </c>
      <c r="C19" s="28" t="inlineStr">
        <is>
          <t>THY:GER-30C - PHE 40</t>
        </is>
      </c>
      <c r="D19" s="27" t="n">
        <v>40</v>
      </c>
      <c r="E19" s="29" t="inlineStr">
        <is>
          <t>thymol</t>
        </is>
      </c>
      <c r="F19" s="29" t="inlineStr">
        <is>
          <t>geraniol</t>
        </is>
      </c>
      <c r="G19" s="30" t="inlineStr">
        <is>
          <t>Simulation failed</t>
        </is>
      </c>
      <c r="H19" s="31">
        <f>IF('Number Density'!$L19=0,"",'Number Density'!H19/'Number Density'!$L19)</f>
        <v/>
      </c>
      <c r="I19" s="31">
        <f>IF('Number Density'!$L19=0,"",'Number Density'!I19/'Number Density'!$L19)</f>
        <v/>
      </c>
      <c r="J19" s="31">
        <f>IF('Number Density'!$L19=0,"",'Number Density'!J19/'Number Density'!$L19)</f>
        <v/>
      </c>
      <c r="K19" s="31">
        <f>IF('Number Density'!$L19=0,"",'Number Density'!K19/'Number Density'!$L19)</f>
        <v/>
      </c>
      <c r="L19" s="31">
        <f>IF('Number Density'!$Q19=0,"",'Number Density'!M19/'Number Density'!$Q19)</f>
        <v/>
      </c>
      <c r="M19" s="31">
        <f>IF('Number Density'!$Q19=0,"",'Number Density'!N19/'Number Density'!$Q19)</f>
        <v/>
      </c>
      <c r="N19" s="31">
        <f>IF('Number Density'!$Q19=0,"",'Number Density'!O19/'Number Density'!$Q19)</f>
        <v/>
      </c>
      <c r="O19" s="31">
        <f>IF('Number Density'!$Q19=0,"",'Number Density'!P19/'Number Density'!$Q19)</f>
        <v/>
      </c>
    </row>
    <row r="20">
      <c r="A20" s="7" t="n">
        <v>17</v>
      </c>
      <c r="B20" s="8" t="inlineStr">
        <is>
          <t>camphor:carvone [30C] - PHE 80</t>
        </is>
      </c>
      <c r="C20" s="8" t="inlineStr">
        <is>
          <t>CAM:CVN-30C - PHE 80</t>
        </is>
      </c>
      <c r="D20" s="7" t="n">
        <v>80</v>
      </c>
      <c r="E20" s="9" t="inlineStr">
        <is>
          <t>camphor</t>
        </is>
      </c>
      <c r="F20" s="9" t="inlineStr">
        <is>
          <t>carvone</t>
        </is>
      </c>
      <c r="G20" s="10" t="inlineStr">
        <is>
          <t>OK</t>
        </is>
      </c>
      <c r="H20" s="11">
        <f>IF('Number Density'!$L20=0,"",'Number Density'!H20/'Number Density'!$L20)</f>
        <v/>
      </c>
      <c r="I20" s="11">
        <f>IF('Number Density'!$L20=0,"",'Number Density'!I20/'Number Density'!$L20)</f>
        <v/>
      </c>
      <c r="J20" s="11">
        <f>IF('Number Density'!$L20=0,"",'Number Density'!J20/'Number Density'!$L20)</f>
        <v/>
      </c>
      <c r="K20" s="11">
        <f>IF('Number Density'!$L20=0,"",'Number Density'!K20/'Number Density'!$L20)</f>
        <v/>
      </c>
      <c r="L20" s="11">
        <f>IF('Number Density'!$Q20=0,"",'Number Density'!M20/'Number Density'!$Q20)</f>
        <v/>
      </c>
      <c r="M20" s="11">
        <f>IF('Number Density'!$Q20=0,"",'Number Density'!N20/'Number Density'!$Q20)</f>
        <v/>
      </c>
      <c r="N20" s="11">
        <f>IF('Number Density'!$Q20=0,"",'Number Density'!O20/'Number Density'!$Q20)</f>
        <v/>
      </c>
      <c r="O20" s="11">
        <f>IF('Number Density'!$Q20=0,"",'Number Density'!P20/'Number Density'!$Q20)</f>
        <v/>
      </c>
    </row>
    <row r="21">
      <c r="A21" s="27" t="n">
        <v>18</v>
      </c>
      <c r="B21" s="28" t="inlineStr">
        <is>
          <t>camphor:carvacrol [30C] - PHE 80</t>
        </is>
      </c>
      <c r="C21" s="28" t="inlineStr">
        <is>
          <t>CAM:CVC-30C - PHE 80</t>
        </is>
      </c>
      <c r="D21" s="27" t="n">
        <v>80</v>
      </c>
      <c r="E21" s="29" t="inlineStr">
        <is>
          <t>camphor</t>
        </is>
      </c>
      <c r="F21" s="29" t="inlineStr">
        <is>
          <t>carvacrol</t>
        </is>
      </c>
      <c r="G21" s="30" t="inlineStr">
        <is>
          <t>Simulation failed</t>
        </is>
      </c>
      <c r="H21" s="31">
        <f>IF('Number Density'!$L21=0,"",'Number Density'!H21/'Number Density'!$L21)</f>
        <v/>
      </c>
      <c r="I21" s="31">
        <f>IF('Number Density'!$L21=0,"",'Number Density'!I21/'Number Density'!$L21)</f>
        <v/>
      </c>
      <c r="J21" s="31">
        <f>IF('Number Density'!$L21=0,"",'Number Density'!J21/'Number Density'!$L21)</f>
        <v/>
      </c>
      <c r="K21" s="31">
        <f>IF('Number Density'!$L21=0,"",'Number Density'!K21/'Number Density'!$L21)</f>
        <v/>
      </c>
      <c r="L21" s="31">
        <f>IF('Number Density'!$Q21=0,"",'Number Density'!M21/'Number Density'!$Q21)</f>
        <v/>
      </c>
      <c r="M21" s="31">
        <f>IF('Number Density'!$Q21=0,"",'Number Density'!N21/'Number Density'!$Q21)</f>
        <v/>
      </c>
      <c r="N21" s="31">
        <f>IF('Number Density'!$Q21=0,"",'Number Density'!O21/'Number Density'!$Q21)</f>
        <v/>
      </c>
      <c r="O21" s="31">
        <f>IF('Number Density'!$Q21=0,"",'Number Density'!P21/'Number Density'!$Q21)</f>
        <v/>
      </c>
    </row>
    <row r="22">
      <c r="A22" s="7" t="n">
        <v>19</v>
      </c>
      <c r="B22" s="8" t="inlineStr">
        <is>
          <t>camphor:eugenol [30C] - PHE 80</t>
        </is>
      </c>
      <c r="C22" s="8" t="inlineStr">
        <is>
          <t>CAM:EUG-30C - PHE 80</t>
        </is>
      </c>
      <c r="D22" s="7" t="n">
        <v>80</v>
      </c>
      <c r="E22" s="9" t="inlineStr">
        <is>
          <t>camphor</t>
        </is>
      </c>
      <c r="F22" s="9" t="inlineStr">
        <is>
          <t>eugenol</t>
        </is>
      </c>
      <c r="G22" s="10" t="inlineStr">
        <is>
          <t>OK</t>
        </is>
      </c>
      <c r="H22" s="11">
        <f>IF('Number Density'!$L22=0,"",'Number Density'!H22/'Number Density'!$L22)</f>
        <v/>
      </c>
      <c r="I22" s="11">
        <f>IF('Number Density'!$L22=0,"",'Number Density'!I22/'Number Density'!$L22)</f>
        <v/>
      </c>
      <c r="J22" s="11">
        <f>IF('Number Density'!$L22=0,"",'Number Density'!J22/'Number Density'!$L22)</f>
        <v/>
      </c>
      <c r="K22" s="11">
        <f>IF('Number Density'!$L22=0,"",'Number Density'!K22/'Number Density'!$L22)</f>
        <v/>
      </c>
      <c r="L22" s="11">
        <f>IF('Number Density'!$Q22=0,"",'Number Density'!M22/'Number Density'!$Q22)</f>
        <v/>
      </c>
      <c r="M22" s="11">
        <f>IF('Number Density'!$Q22=0,"",'Number Density'!N22/'Number Density'!$Q22)</f>
        <v/>
      </c>
      <c r="N22" s="11">
        <f>IF('Number Density'!$Q22=0,"",'Number Density'!O22/'Number Density'!$Q22)</f>
        <v/>
      </c>
      <c r="O22" s="11">
        <f>IF('Number Density'!$Q22=0,"",'Number Density'!P22/'Number Density'!$Q22)</f>
        <v/>
      </c>
    </row>
    <row r="23">
      <c r="A23" s="12" t="n">
        <v>20</v>
      </c>
      <c r="B23" s="13" t="inlineStr">
        <is>
          <t>thymol:camphor [30C] - PHE 80</t>
        </is>
      </c>
      <c r="C23" s="13" t="inlineStr">
        <is>
          <t>THY:CAM-30C - PHE 80</t>
        </is>
      </c>
      <c r="D23" s="12" t="n">
        <v>80</v>
      </c>
      <c r="E23" s="14" t="inlineStr">
        <is>
          <t>thymol</t>
        </is>
      </c>
      <c r="F23" s="14" t="inlineStr">
        <is>
          <t>camphor</t>
        </is>
      </c>
      <c r="G23" s="15" t="inlineStr">
        <is>
          <t>OK</t>
        </is>
      </c>
      <c r="H23" s="16">
        <f>IF('Number Density'!$L23=0,"",'Number Density'!H23/'Number Density'!$L23)</f>
        <v/>
      </c>
      <c r="I23" s="16">
        <f>IF('Number Density'!$L23=0,"",'Number Density'!I23/'Number Density'!$L23)</f>
        <v/>
      </c>
      <c r="J23" s="16">
        <f>IF('Number Density'!$L23=0,"",'Number Density'!J23/'Number Density'!$L23)</f>
        <v/>
      </c>
      <c r="K23" s="16">
        <f>IF('Number Density'!$L23=0,"",'Number Density'!K23/'Number Density'!$L23)</f>
        <v/>
      </c>
      <c r="L23" s="16">
        <f>IF('Number Density'!$Q23=0,"",'Number Density'!M23/'Number Density'!$Q23)</f>
        <v/>
      </c>
      <c r="M23" s="16">
        <f>IF('Number Density'!$Q23=0,"",'Number Density'!N23/'Number Density'!$Q23)</f>
        <v/>
      </c>
      <c r="N23" s="16">
        <f>IF('Number Density'!$Q23=0,"",'Number Density'!O23/'Number Density'!$Q23)</f>
        <v/>
      </c>
      <c r="O23" s="16">
        <f>IF('Number Density'!$Q23=0,"",'Number Density'!P23/'Number Density'!$Q23)</f>
        <v/>
      </c>
    </row>
    <row r="24">
      <c r="A24" s="27" t="n">
        <v>21</v>
      </c>
      <c r="B24" s="28" t="inlineStr">
        <is>
          <t>thymol:carvone [30C] - PHE 80</t>
        </is>
      </c>
      <c r="C24" s="28" t="inlineStr">
        <is>
          <t>THY:CVN-30C - PHE 80</t>
        </is>
      </c>
      <c r="D24" s="27" t="n">
        <v>80</v>
      </c>
      <c r="E24" s="29" t="inlineStr">
        <is>
          <t>thymol</t>
        </is>
      </c>
      <c r="F24" s="29" t="inlineStr">
        <is>
          <t>carvone</t>
        </is>
      </c>
      <c r="G24" s="30" t="inlineStr">
        <is>
          <t>Simulation failed</t>
        </is>
      </c>
      <c r="H24" s="31">
        <f>IF('Number Density'!$L24=0,"",'Number Density'!H24/'Number Density'!$L24)</f>
        <v/>
      </c>
      <c r="I24" s="31">
        <f>IF('Number Density'!$L24=0,"",'Number Density'!I24/'Number Density'!$L24)</f>
        <v/>
      </c>
      <c r="J24" s="31">
        <f>IF('Number Density'!$L24=0,"",'Number Density'!J24/'Number Density'!$L24)</f>
        <v/>
      </c>
      <c r="K24" s="31">
        <f>IF('Number Density'!$L24=0,"",'Number Density'!K24/'Number Density'!$L24)</f>
        <v/>
      </c>
      <c r="L24" s="31">
        <f>IF('Number Density'!$Q24=0,"",'Number Density'!M24/'Number Density'!$Q24)</f>
        <v/>
      </c>
      <c r="M24" s="31">
        <f>IF('Number Density'!$Q24=0,"",'Number Density'!N24/'Number Density'!$Q24)</f>
        <v/>
      </c>
      <c r="N24" s="31">
        <f>IF('Number Density'!$Q24=0,"",'Number Density'!O24/'Number Density'!$Q24)</f>
        <v/>
      </c>
      <c r="O24" s="31">
        <f>IF('Number Density'!$Q24=0,"",'Number Density'!P24/'Number Density'!$Q24)</f>
        <v/>
      </c>
    </row>
    <row r="25">
      <c r="A25" s="22" t="n">
        <v>22</v>
      </c>
      <c r="B25" s="23" t="inlineStr">
        <is>
          <t>thymol:carvacrol [30C] - PHE 80</t>
        </is>
      </c>
      <c r="C25" s="23" t="inlineStr">
        <is>
          <t>THY:CVC-30C - PHE 80</t>
        </is>
      </c>
      <c r="D25" s="22" t="n">
        <v>80</v>
      </c>
      <c r="E25" s="24" t="inlineStr">
        <is>
          <t>thymol</t>
        </is>
      </c>
      <c r="F25" s="24" t="inlineStr">
        <is>
          <t>carvacrol</t>
        </is>
      </c>
      <c r="G25" s="25" t="inlineStr">
        <is>
          <t>More simulation time</t>
        </is>
      </c>
      <c r="H25" s="26">
        <f>IF('Number Density'!$L25=0,"",'Number Density'!H25/'Number Density'!$L25)</f>
        <v/>
      </c>
      <c r="I25" s="26">
        <f>IF('Number Density'!$L25=0,"",'Number Density'!I25/'Number Density'!$L25)</f>
        <v/>
      </c>
      <c r="J25" s="26">
        <f>IF('Number Density'!$L25=0,"",'Number Density'!J25/'Number Density'!$L25)</f>
        <v/>
      </c>
      <c r="K25" s="26">
        <f>IF('Number Density'!$L25=0,"",'Number Density'!K25/'Number Density'!$L25)</f>
        <v/>
      </c>
      <c r="L25" s="26">
        <f>IF('Number Density'!$Q25=0,"",'Number Density'!M25/'Number Density'!$Q25)</f>
        <v/>
      </c>
      <c r="M25" s="26">
        <f>IF('Number Density'!$Q25=0,"",'Number Density'!N25/'Number Density'!$Q25)</f>
        <v/>
      </c>
      <c r="N25" s="26">
        <f>IF('Number Density'!$Q25=0,"",'Number Density'!O25/'Number Density'!$Q25)</f>
        <v/>
      </c>
      <c r="O25" s="26">
        <f>IF('Number Density'!$Q25=0,"",'Number Density'!P25/'Number Density'!$Q25)</f>
        <v/>
      </c>
    </row>
    <row r="26">
      <c r="A26" s="27" t="n">
        <v>23</v>
      </c>
      <c r="B26" s="28" t="inlineStr">
        <is>
          <t>thymol:eugenol [30C] - PHE 80</t>
        </is>
      </c>
      <c r="C26" s="28" t="inlineStr">
        <is>
          <t>THY:EUG-30C - PHE 80</t>
        </is>
      </c>
      <c r="D26" s="27" t="n">
        <v>80</v>
      </c>
      <c r="E26" s="29" t="inlineStr">
        <is>
          <t>thymol</t>
        </is>
      </c>
      <c r="F26" s="29" t="inlineStr">
        <is>
          <t>eugenol</t>
        </is>
      </c>
      <c r="G26" s="30" t="inlineStr">
        <is>
          <t>Simulation failed</t>
        </is>
      </c>
      <c r="H26" s="31">
        <f>IF('Number Density'!$L26=0,"",'Number Density'!H26/'Number Density'!$L26)</f>
        <v/>
      </c>
      <c r="I26" s="31">
        <f>IF('Number Density'!$L26=0,"",'Number Density'!I26/'Number Density'!$L26)</f>
        <v/>
      </c>
      <c r="J26" s="31">
        <f>IF('Number Density'!$L26=0,"",'Number Density'!J26/'Number Density'!$L26)</f>
        <v/>
      </c>
      <c r="K26" s="31">
        <f>IF('Number Density'!$L26=0,"",'Number Density'!K26/'Number Density'!$L26)</f>
        <v/>
      </c>
      <c r="L26" s="31">
        <f>IF('Number Density'!$Q26=0,"",'Number Density'!M26/'Number Density'!$Q26)</f>
        <v/>
      </c>
      <c r="M26" s="31">
        <f>IF('Number Density'!$Q26=0,"",'Number Density'!N26/'Number Density'!$Q26)</f>
        <v/>
      </c>
      <c r="N26" s="31">
        <f>IF('Number Density'!$Q26=0,"",'Number Density'!O26/'Number Density'!$Q26)</f>
        <v/>
      </c>
      <c r="O26" s="31">
        <f>IF('Number Density'!$Q26=0,"",'Number Density'!P26/'Number Density'!$Q26)</f>
        <v/>
      </c>
    </row>
    <row r="27">
      <c r="A27" s="12" t="n">
        <v>24</v>
      </c>
      <c r="B27" s="13" t="inlineStr">
        <is>
          <t>thymol:geraniol [30C] - PHE 80</t>
        </is>
      </c>
      <c r="C27" s="13" t="inlineStr">
        <is>
          <t>THY:GER-30C - PHE 80</t>
        </is>
      </c>
      <c r="D27" s="12" t="n">
        <v>80</v>
      </c>
      <c r="E27" s="14" t="inlineStr">
        <is>
          <t>thymol</t>
        </is>
      </c>
      <c r="F27" s="14" t="inlineStr">
        <is>
          <t>geraniol</t>
        </is>
      </c>
      <c r="G27" s="15" t="inlineStr">
        <is>
          <t>OK</t>
        </is>
      </c>
      <c r="H27" s="16">
        <f>IF('Number Density'!$L27=0,"",'Number Density'!H27/'Number Density'!$L27)</f>
        <v/>
      </c>
      <c r="I27" s="16">
        <f>IF('Number Density'!$L27=0,"",'Number Density'!I27/'Number Density'!$L27)</f>
        <v/>
      </c>
      <c r="J27" s="16">
        <f>IF('Number Density'!$L27=0,"",'Number Density'!J27/'Number Density'!$L27)</f>
        <v/>
      </c>
      <c r="K27" s="16">
        <f>IF('Number Density'!$L27=0,"",'Number Density'!K27/'Number Density'!$L27)</f>
        <v/>
      </c>
      <c r="L27" s="16">
        <f>IF('Number Density'!$Q27=0,"",'Number Density'!M27/'Number Density'!$Q27)</f>
        <v/>
      </c>
      <c r="M27" s="16">
        <f>IF('Number Density'!$Q27=0,"",'Number Density'!N27/'Number Density'!$Q27)</f>
        <v/>
      </c>
      <c r="N27" s="16">
        <f>IF('Number Density'!$Q27=0,"",'Number Density'!O27/'Number Density'!$Q27)</f>
        <v/>
      </c>
      <c r="O27" s="16">
        <f>IF('Number Density'!$Q27=0,"",'Number Density'!P27/'Number Density'!$Q27)</f>
        <v/>
      </c>
    </row>
  </sheetData>
  <mergeCells count="4">
    <mergeCell ref="H2:K2"/>
    <mergeCell ref="A1:O1"/>
    <mergeCell ref="L2:O2"/>
    <mergeCell ref="A2:G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zoomScaleNormal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A1" sqref="A1"/>
    </sheetView>
  </sheetViews>
  <sheetFormatPr baseColWidth="10" defaultColWidth="8.6640625" defaultRowHeight="15"/>
  <cols>
    <col width="4" customWidth="1" min="1" max="1"/>
    <col width="30" customWidth="1" min="2" max="2"/>
    <col width="20" customWidth="1" min="3" max="3"/>
    <col width="6" customWidth="1" min="4" max="4"/>
    <col width="11" customWidth="1" min="5" max="6"/>
    <col width="15" customWidth="1" min="7" max="7"/>
    <col width="8" customWidth="1" min="8" max="9"/>
    <col width="10" customWidth="1" min="10" max="17"/>
  </cols>
  <sheetData>
    <row r="1" ht="21.75" customHeight="1">
      <c r="A1" s="5" t="inlineStr">
        <is>
          <t>Tie-lines — Mass fractions  (wᵢ = nᵢMᵢ / ΣnⱼMⱼ per phase)</t>
        </is>
      </c>
    </row>
    <row r="2" ht="15" customHeight="1">
      <c r="A2" s="4" t="inlineStr">
        <is>
          <t>Identifiers  (M in g/mol)</t>
        </is>
      </c>
      <c r="B2" s="47" t="n"/>
      <c r="C2" s="47" t="n"/>
      <c r="D2" s="47" t="n"/>
      <c r="E2" s="47" t="n"/>
      <c r="F2" s="47" t="n"/>
      <c r="G2" s="47" t="n"/>
      <c r="H2" s="47" t="n"/>
      <c r="I2" s="48" t="n"/>
      <c r="J2" s="3" t="inlineStr">
        <is>
          <t>DES-rich phase — mass fraction</t>
        </is>
      </c>
      <c r="K2" s="47" t="n"/>
      <c r="L2" s="47" t="n"/>
      <c r="M2" s="48" t="n"/>
      <c r="N2" s="2" t="inlineStr">
        <is>
          <t>Water-rich phase — mass fraction</t>
        </is>
      </c>
      <c r="O2" s="47" t="n"/>
      <c r="P2" s="47" t="n"/>
      <c r="Q2" s="48" t="n"/>
    </row>
    <row r="3" ht="30" customHeight="1">
      <c r="A3" s="6" t="inlineStr">
        <is>
          <t>#</t>
        </is>
      </c>
      <c r="B3" s="6" t="inlineStr">
        <is>
          <t>System</t>
        </is>
      </c>
      <c r="C3" s="6" t="inlineStr">
        <is>
          <t>TAG</t>
        </is>
      </c>
      <c r="D3" s="6" t="inlineStr">
        <is>
          <t>PHE</t>
        </is>
      </c>
      <c r="E3" s="6" t="inlineStr">
        <is>
          <t>HBA</t>
        </is>
      </c>
      <c r="F3" s="6" t="inlineStr">
        <is>
          <t>HBD</t>
        </is>
      </c>
      <c r="G3" s="6" t="inlineStr">
        <is>
          <t>Status</t>
        </is>
      </c>
      <c r="H3" s="6" t="inlineStr">
        <is>
          <t>M(HBA)</t>
        </is>
      </c>
      <c r="I3" s="6" t="inlineStr">
        <is>
          <t>M(HBD)</t>
        </is>
      </c>
      <c r="J3" s="6" t="inlineStr">
        <is>
          <t>w(HBA)</t>
        </is>
      </c>
      <c r="K3" s="6" t="inlineStr">
        <is>
          <t>w(HBD)</t>
        </is>
      </c>
      <c r="L3" s="6" t="inlineStr">
        <is>
          <t>w(water)</t>
        </is>
      </c>
      <c r="M3" s="6" t="inlineStr">
        <is>
          <t>w(PHE)</t>
        </is>
      </c>
      <c r="N3" s="6" t="inlineStr">
        <is>
          <t>w(HBA)</t>
        </is>
      </c>
      <c r="O3" s="6" t="inlineStr">
        <is>
          <t>w(HBD)</t>
        </is>
      </c>
      <c r="P3" s="6" t="inlineStr">
        <is>
          <t>w(water)</t>
        </is>
      </c>
      <c r="Q3" s="6" t="inlineStr">
        <is>
          <t>w(PHE)</t>
        </is>
      </c>
    </row>
    <row r="4">
      <c r="A4" s="7" t="n">
        <v>1</v>
      </c>
      <c r="B4" s="8" t="inlineStr">
        <is>
          <t>camphor:carvone [30C] - PHE 20</t>
        </is>
      </c>
      <c r="C4" s="8" t="inlineStr">
        <is>
          <t>CAM:CVN-30C - PHE 20</t>
        </is>
      </c>
      <c r="D4" s="7" t="n">
        <v>20</v>
      </c>
      <c r="E4" s="9" t="inlineStr">
        <is>
          <t>camphor</t>
        </is>
      </c>
      <c r="F4" s="9" t="inlineStr">
        <is>
          <t>carvone</t>
        </is>
      </c>
      <c r="G4" s="10" t="inlineStr">
        <is>
          <t>OK</t>
        </is>
      </c>
      <c r="H4" s="32">
        <f>INDEX(Parameters!$B$6:$B$13,MATCH(E4,Parameters!$A$6:$A$13,0))</f>
        <v/>
      </c>
      <c r="I4" s="32">
        <f>INDEX(Parameters!$B$6:$B$13,MATCH(F4,Parameters!$A$6:$A$13,0))</f>
        <v/>
      </c>
      <c r="J4" s="11">
        <f>IF('Number Density'!$L4=0,"",'Number Density'!H4*$H4/('Number Density'!H4*$H4+'Number Density'!I4*$I4+'Number Density'!J4*Parameters!$B$12+'Number Density'!K4*Parameters!$B$13))</f>
        <v/>
      </c>
      <c r="K4" s="11">
        <f>IF('Number Density'!$L4=0,"",'Number Density'!I4*$I4/('Number Density'!H4*$H4+'Number Density'!I4*$I4+'Number Density'!J4*Parameters!$B$12+'Number Density'!K4*Parameters!$B$13))</f>
        <v/>
      </c>
      <c r="L4" s="11">
        <f>IF('Number Density'!$L4=0,"",'Number Density'!J4*Parameters!$B$12/('Number Density'!H4*$H4+'Number Density'!I4*$I4+'Number Density'!J4*Parameters!$B$12+'Number Density'!K4*Parameters!$B$13))</f>
        <v/>
      </c>
      <c r="M4" s="11">
        <f>IF('Number Density'!$L4=0,"",'Number Density'!K4*Parameters!$B$13/('Number Density'!H4*$H4+'Number Density'!I4*$I4+'Number Density'!J4*Parameters!$B$12+'Number Density'!K4*Parameters!$B$13))</f>
        <v/>
      </c>
      <c r="N4" s="11">
        <f>IF('Number Density'!$Q4=0,"",'Number Density'!M4*$H4/('Number Density'!M4*$H4+'Number Density'!N4*$I4+'Number Density'!O4*Parameters!$B$12+'Number Density'!P4*Parameters!$B$13))</f>
        <v/>
      </c>
      <c r="O4" s="11">
        <f>IF('Number Density'!$Q4=0,"",'Number Density'!N4*$I4/('Number Density'!M4*$H4+'Number Density'!N4*$I4+'Number Density'!O4*Parameters!$B$12+'Number Density'!P4*Parameters!$B$13))</f>
        <v/>
      </c>
      <c r="P4" s="11">
        <f>IF('Number Density'!$Q4=0,"",'Number Density'!O4*Parameters!$B$12/('Number Density'!M4*$H4+'Number Density'!N4*$I4+'Number Density'!O4*Parameters!$B$12+'Number Density'!P4*Parameters!$B$13))</f>
        <v/>
      </c>
      <c r="Q4" s="11">
        <f>IF('Number Density'!$Q4=0,"",'Number Density'!P4*Parameters!$B$13/('Number Density'!M4*$H4+'Number Density'!N4*$I4+'Number Density'!O4*Parameters!$B$12+'Number Density'!P4*Parameters!$B$13))</f>
        <v/>
      </c>
    </row>
    <row r="5">
      <c r="A5" s="12" t="n">
        <v>2</v>
      </c>
      <c r="B5" s="13" t="inlineStr">
        <is>
          <t>camphor:carvacrol [30C] - PHE 20</t>
        </is>
      </c>
      <c r="C5" s="13" t="inlineStr">
        <is>
          <t>CAM:CVC-30C - PHE 20</t>
        </is>
      </c>
      <c r="D5" s="12" t="n">
        <v>20</v>
      </c>
      <c r="E5" s="14" t="inlineStr">
        <is>
          <t>camphor</t>
        </is>
      </c>
      <c r="F5" s="14" t="inlineStr">
        <is>
          <t>carvacrol</t>
        </is>
      </c>
      <c r="G5" s="15" t="inlineStr">
        <is>
          <t>OK</t>
        </is>
      </c>
      <c r="H5" s="33">
        <f>INDEX(Parameters!$B$6:$B$13,MATCH(E5,Parameters!$A$6:$A$13,0))</f>
        <v/>
      </c>
      <c r="I5" s="33">
        <f>INDEX(Parameters!$B$6:$B$13,MATCH(F5,Parameters!$A$6:$A$13,0))</f>
        <v/>
      </c>
      <c r="J5" s="16">
        <f>IF('Number Density'!$L5=0,"",'Number Density'!H5*$H5/('Number Density'!H5*$H5+'Number Density'!I5*$I5+'Number Density'!J5*Parameters!$B$12+'Number Density'!K5*Parameters!$B$13))</f>
        <v/>
      </c>
      <c r="K5" s="16">
        <f>IF('Number Density'!$L5=0,"",'Number Density'!I5*$I5/('Number Density'!H5*$H5+'Number Density'!I5*$I5+'Number Density'!J5*Parameters!$B$12+'Number Density'!K5*Parameters!$B$13))</f>
        <v/>
      </c>
      <c r="L5" s="16">
        <f>IF('Number Density'!$L5=0,"",'Number Density'!J5*Parameters!$B$12/('Number Density'!H5*$H5+'Number Density'!I5*$I5+'Number Density'!J5*Parameters!$B$12+'Number Density'!K5*Parameters!$B$13))</f>
        <v/>
      </c>
      <c r="M5" s="16">
        <f>IF('Number Density'!$L5=0,"",'Number Density'!K5*Parameters!$B$13/('Number Density'!H5*$H5+'Number Density'!I5*$I5+'Number Density'!J5*Parameters!$B$12+'Number Density'!K5*Parameters!$B$13))</f>
        <v/>
      </c>
      <c r="N5" s="16">
        <f>IF('Number Density'!$Q5=0,"",'Number Density'!M5*$H5/('Number Density'!M5*$H5+'Number Density'!N5*$I5+'Number Density'!O5*Parameters!$B$12+'Number Density'!P5*Parameters!$B$13))</f>
        <v/>
      </c>
      <c r="O5" s="16">
        <f>IF('Number Density'!$Q5=0,"",'Number Density'!N5*$I5/('Number Density'!M5*$H5+'Number Density'!N5*$I5+'Number Density'!O5*Parameters!$B$12+'Number Density'!P5*Parameters!$B$13))</f>
        <v/>
      </c>
      <c r="P5" s="16">
        <f>IF('Number Density'!$Q5=0,"",'Number Density'!O5*Parameters!$B$12/('Number Density'!M5*$H5+'Number Density'!N5*$I5+'Number Density'!O5*Parameters!$B$12+'Number Density'!P5*Parameters!$B$13))</f>
        <v/>
      </c>
      <c r="Q5" s="16">
        <f>IF('Number Density'!$Q5=0,"",'Number Density'!P5*Parameters!$B$13/('Number Density'!M5*$H5+'Number Density'!N5*$I5+'Number Density'!O5*Parameters!$B$12+'Number Density'!P5*Parameters!$B$13))</f>
        <v/>
      </c>
    </row>
    <row r="6">
      <c r="A6" s="7" t="n">
        <v>3</v>
      </c>
      <c r="B6" s="8" t="inlineStr">
        <is>
          <t>camphor:eugenol [30C] - PHE 20</t>
        </is>
      </c>
      <c r="C6" s="8" t="inlineStr">
        <is>
          <t>CAM:EUG-30C - PHE 20</t>
        </is>
      </c>
      <c r="D6" s="7" t="n">
        <v>20</v>
      </c>
      <c r="E6" s="9" t="inlineStr">
        <is>
          <t>camphor</t>
        </is>
      </c>
      <c r="F6" s="9" t="inlineStr">
        <is>
          <t>eugenol</t>
        </is>
      </c>
      <c r="G6" s="10" t="inlineStr">
        <is>
          <t>OK</t>
        </is>
      </c>
      <c r="H6" s="32">
        <f>INDEX(Parameters!$B$6:$B$13,MATCH(E6,Parameters!$A$6:$A$13,0))</f>
        <v/>
      </c>
      <c r="I6" s="32">
        <f>INDEX(Parameters!$B$6:$B$13,MATCH(F6,Parameters!$A$6:$A$13,0))</f>
        <v/>
      </c>
      <c r="J6" s="11">
        <f>IF('Number Density'!$L6=0,"",'Number Density'!H6*$H6/('Number Density'!H6*$H6+'Number Density'!I6*$I6+'Number Density'!J6*Parameters!$B$12+'Number Density'!K6*Parameters!$B$13))</f>
        <v/>
      </c>
      <c r="K6" s="11">
        <f>IF('Number Density'!$L6=0,"",'Number Density'!I6*$I6/('Number Density'!H6*$H6+'Number Density'!I6*$I6+'Number Density'!J6*Parameters!$B$12+'Number Density'!K6*Parameters!$B$13))</f>
        <v/>
      </c>
      <c r="L6" s="11">
        <f>IF('Number Density'!$L6=0,"",'Number Density'!J6*Parameters!$B$12/('Number Density'!H6*$H6+'Number Density'!I6*$I6+'Number Density'!J6*Parameters!$B$12+'Number Density'!K6*Parameters!$B$13))</f>
        <v/>
      </c>
      <c r="M6" s="11">
        <f>IF('Number Density'!$L6=0,"",'Number Density'!K6*Parameters!$B$13/('Number Density'!H6*$H6+'Number Density'!I6*$I6+'Number Density'!J6*Parameters!$B$12+'Number Density'!K6*Parameters!$B$13))</f>
        <v/>
      </c>
      <c r="N6" s="11">
        <f>IF('Number Density'!$Q6=0,"",'Number Density'!M6*$H6/('Number Density'!M6*$H6+'Number Density'!N6*$I6+'Number Density'!O6*Parameters!$B$12+'Number Density'!P6*Parameters!$B$13))</f>
        <v/>
      </c>
      <c r="O6" s="11">
        <f>IF('Number Density'!$Q6=0,"",'Number Density'!N6*$I6/('Number Density'!M6*$H6+'Number Density'!N6*$I6+'Number Density'!O6*Parameters!$B$12+'Number Density'!P6*Parameters!$B$13))</f>
        <v/>
      </c>
      <c r="P6" s="11">
        <f>IF('Number Density'!$Q6=0,"",'Number Density'!O6*Parameters!$B$12/('Number Density'!M6*$H6+'Number Density'!N6*$I6+'Number Density'!O6*Parameters!$B$12+'Number Density'!P6*Parameters!$B$13))</f>
        <v/>
      </c>
      <c r="Q6" s="11">
        <f>IF('Number Density'!$Q6=0,"",'Number Density'!P6*Parameters!$B$13/('Number Density'!M6*$H6+'Number Density'!N6*$I6+'Number Density'!O6*Parameters!$B$12+'Number Density'!P6*Parameters!$B$13))</f>
        <v/>
      </c>
    </row>
    <row r="7">
      <c r="A7" s="12" t="n">
        <v>4</v>
      </c>
      <c r="B7" s="13" t="inlineStr">
        <is>
          <t>thymol:camphor [30C] - PHE 20</t>
        </is>
      </c>
      <c r="C7" s="13" t="inlineStr">
        <is>
          <t>THY:CAM-30C - PHE 20</t>
        </is>
      </c>
      <c r="D7" s="12" t="n">
        <v>20</v>
      </c>
      <c r="E7" s="14" t="inlineStr">
        <is>
          <t>thymol</t>
        </is>
      </c>
      <c r="F7" s="14" t="inlineStr">
        <is>
          <t>camphor</t>
        </is>
      </c>
      <c r="G7" s="15" t="inlineStr">
        <is>
          <t>OK</t>
        </is>
      </c>
      <c r="H7" s="33">
        <f>INDEX(Parameters!$B$6:$B$13,MATCH(E7,Parameters!$A$6:$A$13,0))</f>
        <v/>
      </c>
      <c r="I7" s="33">
        <f>INDEX(Parameters!$B$6:$B$13,MATCH(F7,Parameters!$A$6:$A$13,0))</f>
        <v/>
      </c>
      <c r="J7" s="16">
        <f>IF('Number Density'!$L7=0,"",'Number Density'!H7*$H7/('Number Density'!H7*$H7+'Number Density'!I7*$I7+'Number Density'!J7*Parameters!$B$12+'Number Density'!K7*Parameters!$B$13))</f>
        <v/>
      </c>
      <c r="K7" s="16">
        <f>IF('Number Density'!$L7=0,"",'Number Density'!I7*$I7/('Number Density'!H7*$H7+'Number Density'!I7*$I7+'Number Density'!J7*Parameters!$B$12+'Number Density'!K7*Parameters!$B$13))</f>
        <v/>
      </c>
      <c r="L7" s="16">
        <f>IF('Number Density'!$L7=0,"",'Number Density'!J7*Parameters!$B$12/('Number Density'!H7*$H7+'Number Density'!I7*$I7+'Number Density'!J7*Parameters!$B$12+'Number Density'!K7*Parameters!$B$13))</f>
        <v/>
      </c>
      <c r="M7" s="16">
        <f>IF('Number Density'!$L7=0,"",'Number Density'!K7*Parameters!$B$13/('Number Density'!H7*$H7+'Number Density'!I7*$I7+'Number Density'!J7*Parameters!$B$12+'Number Density'!K7*Parameters!$B$13))</f>
        <v/>
      </c>
      <c r="N7" s="16">
        <f>IF('Number Density'!$Q7=0,"",'Number Density'!M7*$H7/('Number Density'!M7*$H7+'Number Density'!N7*$I7+'Number Density'!O7*Parameters!$B$12+'Number Density'!P7*Parameters!$B$13))</f>
        <v/>
      </c>
      <c r="O7" s="16">
        <f>IF('Number Density'!$Q7=0,"",'Number Density'!N7*$I7/('Number Density'!M7*$H7+'Number Density'!N7*$I7+'Number Density'!O7*Parameters!$B$12+'Number Density'!P7*Parameters!$B$13))</f>
        <v/>
      </c>
      <c r="P7" s="16">
        <f>IF('Number Density'!$Q7=0,"",'Number Density'!O7*Parameters!$B$12/('Number Density'!M7*$H7+'Number Density'!N7*$I7+'Number Density'!O7*Parameters!$B$12+'Number Density'!P7*Parameters!$B$13))</f>
        <v/>
      </c>
      <c r="Q7" s="16">
        <f>IF('Number Density'!$Q7=0,"",'Number Density'!P7*Parameters!$B$13/('Number Density'!M7*$H7+'Number Density'!N7*$I7+'Number Density'!O7*Parameters!$B$12+'Number Density'!P7*Parameters!$B$13))</f>
        <v/>
      </c>
    </row>
    <row r="8">
      <c r="A8" s="7" t="n">
        <v>5</v>
      </c>
      <c r="B8" s="8" t="inlineStr">
        <is>
          <t>thymol:carvone [30C] - PHE 20</t>
        </is>
      </c>
      <c r="C8" s="8" t="inlineStr">
        <is>
          <t>THY:CVN-30C - PHE 20</t>
        </is>
      </c>
      <c r="D8" s="7" t="n">
        <v>20</v>
      </c>
      <c r="E8" s="9" t="inlineStr">
        <is>
          <t>thymol</t>
        </is>
      </c>
      <c r="F8" s="9" t="inlineStr">
        <is>
          <t>carvone</t>
        </is>
      </c>
      <c r="G8" s="10" t="inlineStr">
        <is>
          <t>OK</t>
        </is>
      </c>
      <c r="H8" s="32">
        <f>INDEX(Parameters!$B$6:$B$13,MATCH(E8,Parameters!$A$6:$A$13,0))</f>
        <v/>
      </c>
      <c r="I8" s="32">
        <f>INDEX(Parameters!$B$6:$B$13,MATCH(F8,Parameters!$A$6:$A$13,0))</f>
        <v/>
      </c>
      <c r="J8" s="11">
        <f>IF('Number Density'!$L8=0,"",'Number Density'!H8*$H8/('Number Density'!H8*$H8+'Number Density'!I8*$I8+'Number Density'!J8*Parameters!$B$12+'Number Density'!K8*Parameters!$B$13))</f>
        <v/>
      </c>
      <c r="K8" s="11">
        <f>IF('Number Density'!$L8=0,"",'Number Density'!I8*$I8/('Number Density'!H8*$H8+'Number Density'!I8*$I8+'Number Density'!J8*Parameters!$B$12+'Number Density'!K8*Parameters!$B$13))</f>
        <v/>
      </c>
      <c r="L8" s="11">
        <f>IF('Number Density'!$L8=0,"",'Number Density'!J8*Parameters!$B$12/('Number Density'!H8*$H8+'Number Density'!I8*$I8+'Number Density'!J8*Parameters!$B$12+'Number Density'!K8*Parameters!$B$13))</f>
        <v/>
      </c>
      <c r="M8" s="11">
        <f>IF('Number Density'!$L8=0,"",'Number Density'!K8*Parameters!$B$13/('Number Density'!H8*$H8+'Number Density'!I8*$I8+'Number Density'!J8*Parameters!$B$12+'Number Density'!K8*Parameters!$B$13))</f>
        <v/>
      </c>
      <c r="N8" s="11">
        <f>IF('Number Density'!$Q8=0,"",'Number Density'!M8*$H8/('Number Density'!M8*$H8+'Number Density'!N8*$I8+'Number Density'!O8*Parameters!$B$12+'Number Density'!P8*Parameters!$B$13))</f>
        <v/>
      </c>
      <c r="O8" s="11">
        <f>IF('Number Density'!$Q8=0,"",'Number Density'!N8*$I8/('Number Density'!M8*$H8+'Number Density'!N8*$I8+'Number Density'!O8*Parameters!$B$12+'Number Density'!P8*Parameters!$B$13))</f>
        <v/>
      </c>
      <c r="P8" s="11">
        <f>IF('Number Density'!$Q8=0,"",'Number Density'!O8*Parameters!$B$12/('Number Density'!M8*$H8+'Number Density'!N8*$I8+'Number Density'!O8*Parameters!$B$12+'Number Density'!P8*Parameters!$B$13))</f>
        <v/>
      </c>
      <c r="Q8" s="11">
        <f>IF('Number Density'!$Q8=0,"",'Number Density'!P8*Parameters!$B$13/('Number Density'!M8*$H8+'Number Density'!N8*$I8+'Number Density'!O8*Parameters!$B$12+'Number Density'!P8*Parameters!$B$13))</f>
        <v/>
      </c>
    </row>
    <row r="9" ht="24" customHeight="1">
      <c r="A9" s="17" t="n">
        <v>6</v>
      </c>
      <c r="B9" s="18" t="inlineStr">
        <is>
          <t>thymol:carvacrol [30C] - PHE 20</t>
        </is>
      </c>
      <c r="C9" s="18" t="inlineStr">
        <is>
          <t>THY:CVC-30C - PHE 20</t>
        </is>
      </c>
      <c r="D9" s="17" t="n">
        <v>20</v>
      </c>
      <c r="E9" s="19" t="inlineStr">
        <is>
          <t>thymol</t>
        </is>
      </c>
      <c r="F9" s="19" t="inlineStr">
        <is>
          <t>carvacrol</t>
        </is>
      </c>
      <c r="G9" s="20" t="inlineStr">
        <is>
          <t>Bad initial configuration</t>
        </is>
      </c>
      <c r="H9" s="34">
        <f>INDEX(Parameters!$B$6:$B$13,MATCH(E9,Parameters!$A$6:$A$13,0))</f>
        <v/>
      </c>
      <c r="I9" s="34">
        <f>INDEX(Parameters!$B$6:$B$13,MATCH(F9,Parameters!$A$6:$A$13,0))</f>
        <v/>
      </c>
      <c r="J9" s="21">
        <f>IF('Number Density'!$L9=0,"",'Number Density'!H9*$H9/('Number Density'!H9*$H9+'Number Density'!I9*$I9+'Number Density'!J9*Parameters!$B$12+'Number Density'!K9*Parameters!$B$13))</f>
        <v/>
      </c>
      <c r="K9" s="21">
        <f>IF('Number Density'!$L9=0,"",'Number Density'!I9*$I9/('Number Density'!H9*$H9+'Number Density'!I9*$I9+'Number Density'!J9*Parameters!$B$12+'Number Density'!K9*Parameters!$B$13))</f>
        <v/>
      </c>
      <c r="L9" s="21">
        <f>IF('Number Density'!$L9=0,"",'Number Density'!J9*Parameters!$B$12/('Number Density'!H9*$H9+'Number Density'!I9*$I9+'Number Density'!J9*Parameters!$B$12+'Number Density'!K9*Parameters!$B$13))</f>
        <v/>
      </c>
      <c r="M9" s="21">
        <f>IF('Number Density'!$L9=0,"",'Number Density'!K9*Parameters!$B$13/('Number Density'!H9*$H9+'Number Density'!I9*$I9+'Number Density'!J9*Parameters!$B$12+'Number Density'!K9*Parameters!$B$13))</f>
        <v/>
      </c>
      <c r="N9" s="21">
        <f>IF('Number Density'!$Q9=0,"",'Number Density'!M9*$H9/('Number Density'!M9*$H9+'Number Density'!N9*$I9+'Number Density'!O9*Parameters!$B$12+'Number Density'!P9*Parameters!$B$13))</f>
        <v/>
      </c>
      <c r="O9" s="21">
        <f>IF('Number Density'!$Q9=0,"",'Number Density'!N9*$I9/('Number Density'!M9*$H9+'Number Density'!N9*$I9+'Number Density'!O9*Parameters!$B$12+'Number Density'!P9*Parameters!$B$13))</f>
        <v/>
      </c>
      <c r="P9" s="21">
        <f>IF('Number Density'!$Q9=0,"",'Number Density'!O9*Parameters!$B$12/('Number Density'!M9*$H9+'Number Density'!N9*$I9+'Number Density'!O9*Parameters!$B$12+'Number Density'!P9*Parameters!$B$13))</f>
        <v/>
      </c>
      <c r="Q9" s="21">
        <f>IF('Number Density'!$Q9=0,"",'Number Density'!P9*Parameters!$B$13/('Number Density'!M9*$H9+'Number Density'!N9*$I9+'Number Density'!O9*Parameters!$B$12+'Number Density'!P9*Parameters!$B$13))</f>
        <v/>
      </c>
    </row>
    <row r="10">
      <c r="A10" s="22" t="n">
        <v>7</v>
      </c>
      <c r="B10" s="23" t="inlineStr">
        <is>
          <t>thymol:eugenol [30C] - PHE 20</t>
        </is>
      </c>
      <c r="C10" s="23" t="inlineStr">
        <is>
          <t>THY:EUG-30C - PHE 20</t>
        </is>
      </c>
      <c r="D10" s="22" t="n">
        <v>20</v>
      </c>
      <c r="E10" s="24" t="inlineStr">
        <is>
          <t>thymol</t>
        </is>
      </c>
      <c r="F10" s="24" t="inlineStr">
        <is>
          <t>eugenol</t>
        </is>
      </c>
      <c r="G10" s="25" t="inlineStr">
        <is>
          <t>More simulation time</t>
        </is>
      </c>
      <c r="H10" s="35">
        <f>INDEX(Parameters!$B$6:$B$13,MATCH(E10,Parameters!$A$6:$A$13,0))</f>
        <v/>
      </c>
      <c r="I10" s="35">
        <f>INDEX(Parameters!$B$6:$B$13,MATCH(F10,Parameters!$A$6:$A$13,0))</f>
        <v/>
      </c>
      <c r="J10" s="26">
        <f>IF('Number Density'!$L10=0,"",'Number Density'!H10*$H10/('Number Density'!H10*$H10+'Number Density'!I10*$I10+'Number Density'!J10*Parameters!$B$12+'Number Density'!K10*Parameters!$B$13))</f>
        <v/>
      </c>
      <c r="K10" s="26">
        <f>IF('Number Density'!$L10=0,"",'Number Density'!I10*$I10/('Number Density'!H10*$H10+'Number Density'!I10*$I10+'Number Density'!J10*Parameters!$B$12+'Number Density'!K10*Parameters!$B$13))</f>
        <v/>
      </c>
      <c r="L10" s="26">
        <f>IF('Number Density'!$L10=0,"",'Number Density'!J10*Parameters!$B$12/('Number Density'!H10*$H10+'Number Density'!I10*$I10+'Number Density'!J10*Parameters!$B$12+'Number Density'!K10*Parameters!$B$13))</f>
        <v/>
      </c>
      <c r="M10" s="26">
        <f>IF('Number Density'!$L10=0,"",'Number Density'!K10*Parameters!$B$13/('Number Density'!H10*$H10+'Number Density'!I10*$I10+'Number Density'!J10*Parameters!$B$12+'Number Density'!K10*Parameters!$B$13))</f>
        <v/>
      </c>
      <c r="N10" s="26">
        <f>IF('Number Density'!$Q10=0,"",'Number Density'!M10*$H10/('Number Density'!M10*$H10+'Number Density'!N10*$I10+'Number Density'!O10*Parameters!$B$12+'Number Density'!P10*Parameters!$B$13))</f>
        <v/>
      </c>
      <c r="O10" s="26">
        <f>IF('Number Density'!$Q10=0,"",'Number Density'!N10*$I10/('Number Density'!M10*$H10+'Number Density'!N10*$I10+'Number Density'!O10*Parameters!$B$12+'Number Density'!P10*Parameters!$B$13))</f>
        <v/>
      </c>
      <c r="P10" s="26">
        <f>IF('Number Density'!$Q10=0,"",'Number Density'!O10*Parameters!$B$12/('Number Density'!M10*$H10+'Number Density'!N10*$I10+'Number Density'!O10*Parameters!$B$12+'Number Density'!P10*Parameters!$B$13))</f>
        <v/>
      </c>
      <c r="Q10" s="26">
        <f>IF('Number Density'!$Q10=0,"",'Number Density'!P10*Parameters!$B$13/('Number Density'!M10*$H10+'Number Density'!N10*$I10+'Number Density'!O10*Parameters!$B$12+'Number Density'!P10*Parameters!$B$13))</f>
        <v/>
      </c>
    </row>
    <row r="11">
      <c r="A11" s="27" t="n">
        <v>8</v>
      </c>
      <c r="B11" s="28" t="inlineStr">
        <is>
          <t>thymol:geraniol [30C] - PHE 20</t>
        </is>
      </c>
      <c r="C11" s="28" t="inlineStr">
        <is>
          <t>THY:GER-30C - PHE 20</t>
        </is>
      </c>
      <c r="D11" s="27" t="n">
        <v>20</v>
      </c>
      <c r="E11" s="29" t="inlineStr">
        <is>
          <t>thymol</t>
        </is>
      </c>
      <c r="F11" s="29" t="inlineStr">
        <is>
          <t>geraniol</t>
        </is>
      </c>
      <c r="G11" s="30" t="inlineStr">
        <is>
          <t>Simulation failed</t>
        </is>
      </c>
      <c r="H11" s="36">
        <f>INDEX(Parameters!$B$6:$B$13,MATCH(E11,Parameters!$A$6:$A$13,0))</f>
        <v/>
      </c>
      <c r="I11" s="36">
        <f>INDEX(Parameters!$B$6:$B$13,MATCH(F11,Parameters!$A$6:$A$13,0))</f>
        <v/>
      </c>
      <c r="J11" s="31">
        <f>IF('Number Density'!$L11=0,"",'Number Density'!H11*$H11/('Number Density'!H11*$H11+'Number Density'!I11*$I11+'Number Density'!J11*Parameters!$B$12+'Number Density'!K11*Parameters!$B$13))</f>
        <v/>
      </c>
      <c r="K11" s="31">
        <f>IF('Number Density'!$L11=0,"",'Number Density'!I11*$I11/('Number Density'!H11*$H11+'Number Density'!I11*$I11+'Number Density'!J11*Parameters!$B$12+'Number Density'!K11*Parameters!$B$13))</f>
        <v/>
      </c>
      <c r="L11" s="31">
        <f>IF('Number Density'!$L11=0,"",'Number Density'!J11*Parameters!$B$12/('Number Density'!H11*$H11+'Number Density'!I11*$I11+'Number Density'!J11*Parameters!$B$12+'Number Density'!K11*Parameters!$B$13))</f>
        <v/>
      </c>
      <c r="M11" s="31">
        <f>IF('Number Density'!$L11=0,"",'Number Density'!K11*Parameters!$B$13/('Number Density'!H11*$H11+'Number Density'!I11*$I11+'Number Density'!J11*Parameters!$B$12+'Number Density'!K11*Parameters!$B$13))</f>
        <v/>
      </c>
      <c r="N11" s="31">
        <f>IF('Number Density'!$Q11=0,"",'Number Density'!M11*$H11/('Number Density'!M11*$H11+'Number Density'!N11*$I11+'Number Density'!O11*Parameters!$B$12+'Number Density'!P11*Parameters!$B$13))</f>
        <v/>
      </c>
      <c r="O11" s="31">
        <f>IF('Number Density'!$Q11=0,"",'Number Density'!N11*$I11/('Number Density'!M11*$H11+'Number Density'!N11*$I11+'Number Density'!O11*Parameters!$B$12+'Number Density'!P11*Parameters!$B$13))</f>
        <v/>
      </c>
      <c r="P11" s="31">
        <f>IF('Number Density'!$Q11=0,"",'Number Density'!O11*Parameters!$B$12/('Number Density'!M11*$H11+'Number Density'!N11*$I11+'Number Density'!O11*Parameters!$B$12+'Number Density'!P11*Parameters!$B$13))</f>
        <v/>
      </c>
      <c r="Q11" s="31">
        <f>IF('Number Density'!$Q11=0,"",'Number Density'!P11*Parameters!$B$13/('Number Density'!M11*$H11+'Number Density'!N11*$I11+'Number Density'!O11*Parameters!$B$12+'Number Density'!P11*Parameters!$B$13))</f>
        <v/>
      </c>
    </row>
    <row r="12">
      <c r="A12" s="7" t="n">
        <v>9</v>
      </c>
      <c r="B12" s="8" t="inlineStr">
        <is>
          <t>camphor:carvone [30C] - PHE 40</t>
        </is>
      </c>
      <c r="C12" s="8" t="inlineStr">
        <is>
          <t>CAM:CVN-30C - PHE 40</t>
        </is>
      </c>
      <c r="D12" s="7" t="n">
        <v>40</v>
      </c>
      <c r="E12" s="9" t="inlineStr">
        <is>
          <t>camphor</t>
        </is>
      </c>
      <c r="F12" s="9" t="inlineStr">
        <is>
          <t>carvone</t>
        </is>
      </c>
      <c r="G12" s="10" t="inlineStr">
        <is>
          <t>OK</t>
        </is>
      </c>
      <c r="H12" s="32">
        <f>INDEX(Parameters!$B$6:$B$13,MATCH(E12,Parameters!$A$6:$A$13,0))</f>
        <v/>
      </c>
      <c r="I12" s="32">
        <f>INDEX(Parameters!$B$6:$B$13,MATCH(F12,Parameters!$A$6:$A$13,0))</f>
        <v/>
      </c>
      <c r="J12" s="11">
        <f>IF('Number Density'!$L12=0,"",'Number Density'!H12*$H12/('Number Density'!H12*$H12+'Number Density'!I12*$I12+'Number Density'!J12*Parameters!$B$12+'Number Density'!K12*Parameters!$B$13))</f>
        <v/>
      </c>
      <c r="K12" s="11">
        <f>IF('Number Density'!$L12=0,"",'Number Density'!I12*$I12/('Number Density'!H12*$H12+'Number Density'!I12*$I12+'Number Density'!J12*Parameters!$B$12+'Number Density'!K12*Parameters!$B$13))</f>
        <v/>
      </c>
      <c r="L12" s="11">
        <f>IF('Number Density'!$L12=0,"",'Number Density'!J12*Parameters!$B$12/('Number Density'!H12*$H12+'Number Density'!I12*$I12+'Number Density'!J12*Parameters!$B$12+'Number Density'!K12*Parameters!$B$13))</f>
        <v/>
      </c>
      <c r="M12" s="11">
        <f>IF('Number Density'!$L12=0,"",'Number Density'!K12*Parameters!$B$13/('Number Density'!H12*$H12+'Number Density'!I12*$I12+'Number Density'!J12*Parameters!$B$12+'Number Density'!K12*Parameters!$B$13))</f>
        <v/>
      </c>
      <c r="N12" s="11">
        <f>IF('Number Density'!$Q12=0,"",'Number Density'!M12*$H12/('Number Density'!M12*$H12+'Number Density'!N12*$I12+'Number Density'!O12*Parameters!$B$12+'Number Density'!P12*Parameters!$B$13))</f>
        <v/>
      </c>
      <c r="O12" s="11">
        <f>IF('Number Density'!$Q12=0,"",'Number Density'!N12*$I12/('Number Density'!M12*$H12+'Number Density'!N12*$I12+'Number Density'!O12*Parameters!$B$12+'Number Density'!P12*Parameters!$B$13))</f>
        <v/>
      </c>
      <c r="P12" s="11">
        <f>IF('Number Density'!$Q12=0,"",'Number Density'!O12*Parameters!$B$12/('Number Density'!M12*$H12+'Number Density'!N12*$I12+'Number Density'!O12*Parameters!$B$12+'Number Density'!P12*Parameters!$B$13))</f>
        <v/>
      </c>
      <c r="Q12" s="11">
        <f>IF('Number Density'!$Q12=0,"",'Number Density'!P12*Parameters!$B$13/('Number Density'!M12*$H12+'Number Density'!N12*$I12+'Number Density'!O12*Parameters!$B$12+'Number Density'!P12*Parameters!$B$13))</f>
        <v/>
      </c>
    </row>
    <row r="13">
      <c r="A13" s="27" t="n">
        <v>10</v>
      </c>
      <c r="B13" s="28" t="inlineStr">
        <is>
          <t>camphor:carvacrol [30C] - PHE 40</t>
        </is>
      </c>
      <c r="C13" s="28" t="inlineStr">
        <is>
          <t>CAM:CVC-30C - PHE 40</t>
        </is>
      </c>
      <c r="D13" s="27" t="n">
        <v>40</v>
      </c>
      <c r="E13" s="29" t="inlineStr">
        <is>
          <t>camphor</t>
        </is>
      </c>
      <c r="F13" s="29" t="inlineStr">
        <is>
          <t>carvacrol</t>
        </is>
      </c>
      <c r="G13" s="30" t="inlineStr">
        <is>
          <t>Simulation failed</t>
        </is>
      </c>
      <c r="H13" s="36">
        <f>INDEX(Parameters!$B$6:$B$13,MATCH(E13,Parameters!$A$6:$A$13,0))</f>
        <v/>
      </c>
      <c r="I13" s="36">
        <f>INDEX(Parameters!$B$6:$B$13,MATCH(F13,Parameters!$A$6:$A$13,0))</f>
        <v/>
      </c>
      <c r="J13" s="31">
        <f>IF('Number Density'!$L13=0,"",'Number Density'!H13*$H13/('Number Density'!H13*$H13+'Number Density'!I13*$I13+'Number Density'!J13*Parameters!$B$12+'Number Density'!K13*Parameters!$B$13))</f>
        <v/>
      </c>
      <c r="K13" s="31">
        <f>IF('Number Density'!$L13=0,"",'Number Density'!I13*$I13/('Number Density'!H13*$H13+'Number Density'!I13*$I13+'Number Density'!J13*Parameters!$B$12+'Number Density'!K13*Parameters!$B$13))</f>
        <v/>
      </c>
      <c r="L13" s="31">
        <f>IF('Number Density'!$L13=0,"",'Number Density'!J13*Parameters!$B$12/('Number Density'!H13*$H13+'Number Density'!I13*$I13+'Number Density'!J13*Parameters!$B$12+'Number Density'!K13*Parameters!$B$13))</f>
        <v/>
      </c>
      <c r="M13" s="31">
        <f>IF('Number Density'!$L13=0,"",'Number Density'!K13*Parameters!$B$13/('Number Density'!H13*$H13+'Number Density'!I13*$I13+'Number Density'!J13*Parameters!$B$12+'Number Density'!K13*Parameters!$B$13))</f>
        <v/>
      </c>
      <c r="N13" s="31">
        <f>IF('Number Density'!$Q13=0,"",'Number Density'!M13*$H13/('Number Density'!M13*$H13+'Number Density'!N13*$I13+'Number Density'!O13*Parameters!$B$12+'Number Density'!P13*Parameters!$B$13))</f>
        <v/>
      </c>
      <c r="O13" s="31">
        <f>IF('Number Density'!$Q13=0,"",'Number Density'!N13*$I13/('Number Density'!M13*$H13+'Number Density'!N13*$I13+'Number Density'!O13*Parameters!$B$12+'Number Density'!P13*Parameters!$B$13))</f>
        <v/>
      </c>
      <c r="P13" s="31">
        <f>IF('Number Density'!$Q13=0,"",'Number Density'!O13*Parameters!$B$12/('Number Density'!M13*$H13+'Number Density'!N13*$I13+'Number Density'!O13*Parameters!$B$12+'Number Density'!P13*Parameters!$B$13))</f>
        <v/>
      </c>
      <c r="Q13" s="31">
        <f>IF('Number Density'!$Q13=0,"",'Number Density'!P13*Parameters!$B$13/('Number Density'!M13*$H13+'Number Density'!N13*$I13+'Number Density'!O13*Parameters!$B$12+'Number Density'!P13*Parameters!$B$13))</f>
        <v/>
      </c>
    </row>
    <row r="14">
      <c r="A14" s="7" t="n">
        <v>11</v>
      </c>
      <c r="B14" s="8" t="inlineStr">
        <is>
          <t>camphor:eugenol [30C] - PHE 40</t>
        </is>
      </c>
      <c r="C14" s="8" t="inlineStr">
        <is>
          <t>CAM:EUG-30C - PHE 40</t>
        </is>
      </c>
      <c r="D14" s="7" t="n">
        <v>40</v>
      </c>
      <c r="E14" s="9" t="inlineStr">
        <is>
          <t>camphor</t>
        </is>
      </c>
      <c r="F14" s="9" t="inlineStr">
        <is>
          <t>eugenol</t>
        </is>
      </c>
      <c r="G14" s="10" t="inlineStr">
        <is>
          <t>OK</t>
        </is>
      </c>
      <c r="H14" s="32">
        <f>INDEX(Parameters!$B$6:$B$13,MATCH(E14,Parameters!$A$6:$A$13,0))</f>
        <v/>
      </c>
      <c r="I14" s="32">
        <f>INDEX(Parameters!$B$6:$B$13,MATCH(F14,Parameters!$A$6:$A$13,0))</f>
        <v/>
      </c>
      <c r="J14" s="11">
        <f>IF('Number Density'!$L14=0,"",'Number Density'!H14*$H14/('Number Density'!H14*$H14+'Number Density'!I14*$I14+'Number Density'!J14*Parameters!$B$12+'Number Density'!K14*Parameters!$B$13))</f>
        <v/>
      </c>
      <c r="K14" s="11">
        <f>IF('Number Density'!$L14=0,"",'Number Density'!I14*$I14/('Number Density'!H14*$H14+'Number Density'!I14*$I14+'Number Density'!J14*Parameters!$B$12+'Number Density'!K14*Parameters!$B$13))</f>
        <v/>
      </c>
      <c r="L14" s="11">
        <f>IF('Number Density'!$L14=0,"",'Number Density'!J14*Parameters!$B$12/('Number Density'!H14*$H14+'Number Density'!I14*$I14+'Number Density'!J14*Parameters!$B$12+'Number Density'!K14*Parameters!$B$13))</f>
        <v/>
      </c>
      <c r="M14" s="11">
        <f>IF('Number Density'!$L14=0,"",'Number Density'!K14*Parameters!$B$13/('Number Density'!H14*$H14+'Number Density'!I14*$I14+'Number Density'!J14*Parameters!$B$12+'Number Density'!K14*Parameters!$B$13))</f>
        <v/>
      </c>
      <c r="N14" s="11">
        <f>IF('Number Density'!$Q14=0,"",'Number Density'!M14*$H14/('Number Density'!M14*$H14+'Number Density'!N14*$I14+'Number Density'!O14*Parameters!$B$12+'Number Density'!P14*Parameters!$B$13))</f>
        <v/>
      </c>
      <c r="O14" s="11">
        <f>IF('Number Density'!$Q14=0,"",'Number Density'!N14*$I14/('Number Density'!M14*$H14+'Number Density'!N14*$I14+'Number Density'!O14*Parameters!$B$12+'Number Density'!P14*Parameters!$B$13))</f>
        <v/>
      </c>
      <c r="P14" s="11">
        <f>IF('Number Density'!$Q14=0,"",'Number Density'!O14*Parameters!$B$12/('Number Density'!M14*$H14+'Number Density'!N14*$I14+'Number Density'!O14*Parameters!$B$12+'Number Density'!P14*Parameters!$B$13))</f>
        <v/>
      </c>
      <c r="Q14" s="11">
        <f>IF('Number Density'!$Q14=0,"",'Number Density'!P14*Parameters!$B$13/('Number Density'!M14*$H14+'Number Density'!N14*$I14+'Number Density'!O14*Parameters!$B$12+'Number Density'!P14*Parameters!$B$13))</f>
        <v/>
      </c>
    </row>
    <row r="15">
      <c r="A15" s="12" t="n">
        <v>12</v>
      </c>
      <c r="B15" s="13" t="inlineStr">
        <is>
          <t>thymol:camphor [30C] - PHE 40</t>
        </is>
      </c>
      <c r="C15" s="13" t="inlineStr">
        <is>
          <t>THY:CAM-30C - PHE 40</t>
        </is>
      </c>
      <c r="D15" s="12" t="n">
        <v>40</v>
      </c>
      <c r="E15" s="14" t="inlineStr">
        <is>
          <t>thymol</t>
        </is>
      </c>
      <c r="F15" s="14" t="inlineStr">
        <is>
          <t>camphor</t>
        </is>
      </c>
      <c r="G15" s="15" t="inlineStr">
        <is>
          <t>OK</t>
        </is>
      </c>
      <c r="H15" s="33">
        <f>INDEX(Parameters!$B$6:$B$13,MATCH(E15,Parameters!$A$6:$A$13,0))</f>
        <v/>
      </c>
      <c r="I15" s="33">
        <f>INDEX(Parameters!$B$6:$B$13,MATCH(F15,Parameters!$A$6:$A$13,0))</f>
        <v/>
      </c>
      <c r="J15" s="16">
        <f>IF('Number Density'!$L15=0,"",'Number Density'!H15*$H15/('Number Density'!H15*$H15+'Number Density'!I15*$I15+'Number Density'!J15*Parameters!$B$12+'Number Density'!K15*Parameters!$B$13))</f>
        <v/>
      </c>
      <c r="K15" s="16">
        <f>IF('Number Density'!$L15=0,"",'Number Density'!I15*$I15/('Number Density'!H15*$H15+'Number Density'!I15*$I15+'Number Density'!J15*Parameters!$B$12+'Number Density'!K15*Parameters!$B$13))</f>
        <v/>
      </c>
      <c r="L15" s="16">
        <f>IF('Number Density'!$L15=0,"",'Number Density'!J15*Parameters!$B$12/('Number Density'!H15*$H15+'Number Density'!I15*$I15+'Number Density'!J15*Parameters!$B$12+'Number Density'!K15*Parameters!$B$13))</f>
        <v/>
      </c>
      <c r="M15" s="16">
        <f>IF('Number Density'!$L15=0,"",'Number Density'!K15*Parameters!$B$13/('Number Density'!H15*$H15+'Number Density'!I15*$I15+'Number Density'!J15*Parameters!$B$12+'Number Density'!K15*Parameters!$B$13))</f>
        <v/>
      </c>
      <c r="N15" s="16">
        <f>IF('Number Density'!$Q15=0,"",'Number Density'!M15*$H15/('Number Density'!M15*$H15+'Number Density'!N15*$I15+'Number Density'!O15*Parameters!$B$12+'Number Density'!P15*Parameters!$B$13))</f>
        <v/>
      </c>
      <c r="O15" s="16">
        <f>IF('Number Density'!$Q15=0,"",'Number Density'!N15*$I15/('Number Density'!M15*$H15+'Number Density'!N15*$I15+'Number Density'!O15*Parameters!$B$12+'Number Density'!P15*Parameters!$B$13))</f>
        <v/>
      </c>
      <c r="P15" s="16">
        <f>IF('Number Density'!$Q15=0,"",'Number Density'!O15*Parameters!$B$12/('Number Density'!M15*$H15+'Number Density'!N15*$I15+'Number Density'!O15*Parameters!$B$12+'Number Density'!P15*Parameters!$B$13))</f>
        <v/>
      </c>
      <c r="Q15" s="16">
        <f>IF('Number Density'!$Q15=0,"",'Number Density'!P15*Parameters!$B$13/('Number Density'!M15*$H15+'Number Density'!N15*$I15+'Number Density'!O15*Parameters!$B$12+'Number Density'!P15*Parameters!$B$13))</f>
        <v/>
      </c>
    </row>
    <row r="16">
      <c r="A16" s="7" t="n">
        <v>13</v>
      </c>
      <c r="B16" s="8" t="inlineStr">
        <is>
          <t>thymol:carvone [30C] - PHE 40</t>
        </is>
      </c>
      <c r="C16" s="8" t="inlineStr">
        <is>
          <t>THY:CVN-30C - PHE 40</t>
        </is>
      </c>
      <c r="D16" s="7" t="n">
        <v>40</v>
      </c>
      <c r="E16" s="9" t="inlineStr">
        <is>
          <t>thymol</t>
        </is>
      </c>
      <c r="F16" s="9" t="inlineStr">
        <is>
          <t>carvone</t>
        </is>
      </c>
      <c r="G16" s="10" t="inlineStr">
        <is>
          <t>OK</t>
        </is>
      </c>
      <c r="H16" s="32">
        <f>INDEX(Parameters!$B$6:$B$13,MATCH(E16,Parameters!$A$6:$A$13,0))</f>
        <v/>
      </c>
      <c r="I16" s="32">
        <f>INDEX(Parameters!$B$6:$B$13,MATCH(F16,Parameters!$A$6:$A$13,0))</f>
        <v/>
      </c>
      <c r="J16" s="11">
        <f>IF('Number Density'!$L16=0,"",'Number Density'!H16*$H16/('Number Density'!H16*$H16+'Number Density'!I16*$I16+'Number Density'!J16*Parameters!$B$12+'Number Density'!K16*Parameters!$B$13))</f>
        <v/>
      </c>
      <c r="K16" s="11">
        <f>IF('Number Density'!$L16=0,"",'Number Density'!I16*$I16/('Number Density'!H16*$H16+'Number Density'!I16*$I16+'Number Density'!J16*Parameters!$B$12+'Number Density'!K16*Parameters!$B$13))</f>
        <v/>
      </c>
      <c r="L16" s="11">
        <f>IF('Number Density'!$L16=0,"",'Number Density'!J16*Parameters!$B$12/('Number Density'!H16*$H16+'Number Density'!I16*$I16+'Number Density'!J16*Parameters!$B$12+'Number Density'!K16*Parameters!$B$13))</f>
        <v/>
      </c>
      <c r="M16" s="11">
        <f>IF('Number Density'!$L16=0,"",'Number Density'!K16*Parameters!$B$13/('Number Density'!H16*$H16+'Number Density'!I16*$I16+'Number Density'!J16*Parameters!$B$12+'Number Density'!K16*Parameters!$B$13))</f>
        <v/>
      </c>
      <c r="N16" s="11">
        <f>IF('Number Density'!$Q16=0,"",'Number Density'!M16*$H16/('Number Density'!M16*$H16+'Number Density'!N16*$I16+'Number Density'!O16*Parameters!$B$12+'Number Density'!P16*Parameters!$B$13))</f>
        <v/>
      </c>
      <c r="O16" s="11">
        <f>IF('Number Density'!$Q16=0,"",'Number Density'!N16*$I16/('Number Density'!M16*$H16+'Number Density'!N16*$I16+'Number Density'!O16*Parameters!$B$12+'Number Density'!P16*Parameters!$B$13))</f>
        <v/>
      </c>
      <c r="P16" s="11">
        <f>IF('Number Density'!$Q16=0,"",'Number Density'!O16*Parameters!$B$12/('Number Density'!M16*$H16+'Number Density'!N16*$I16+'Number Density'!O16*Parameters!$B$12+'Number Density'!P16*Parameters!$B$13))</f>
        <v/>
      </c>
      <c r="Q16" s="11">
        <f>IF('Number Density'!$Q16=0,"",'Number Density'!P16*Parameters!$B$13/('Number Density'!M16*$H16+'Number Density'!N16*$I16+'Number Density'!O16*Parameters!$B$12+'Number Density'!P16*Parameters!$B$13))</f>
        <v/>
      </c>
    </row>
    <row r="17" ht="24" customHeight="1">
      <c r="A17" s="17" t="n">
        <v>14</v>
      </c>
      <c r="B17" s="18" t="inlineStr">
        <is>
          <t>thymol:carvacrol [30C] - PHE 40</t>
        </is>
      </c>
      <c r="C17" s="18" t="inlineStr">
        <is>
          <t>THY:CVC-30C - PHE 40</t>
        </is>
      </c>
      <c r="D17" s="17" t="n">
        <v>40</v>
      </c>
      <c r="E17" s="19" t="inlineStr">
        <is>
          <t>thymol</t>
        </is>
      </c>
      <c r="F17" s="19" t="inlineStr">
        <is>
          <t>carvacrol</t>
        </is>
      </c>
      <c r="G17" s="20" t="inlineStr">
        <is>
          <t>Bad initial configuration</t>
        </is>
      </c>
      <c r="H17" s="34">
        <f>INDEX(Parameters!$B$6:$B$13,MATCH(E17,Parameters!$A$6:$A$13,0))</f>
        <v/>
      </c>
      <c r="I17" s="34">
        <f>INDEX(Parameters!$B$6:$B$13,MATCH(F17,Parameters!$A$6:$A$13,0))</f>
        <v/>
      </c>
      <c r="J17" s="21">
        <f>IF('Number Density'!$L17=0,"",'Number Density'!H17*$H17/('Number Density'!H17*$H17+'Number Density'!I17*$I17+'Number Density'!J17*Parameters!$B$12+'Number Density'!K17*Parameters!$B$13))</f>
        <v/>
      </c>
      <c r="K17" s="21">
        <f>IF('Number Density'!$L17=0,"",'Number Density'!I17*$I17/('Number Density'!H17*$H17+'Number Density'!I17*$I17+'Number Density'!J17*Parameters!$B$12+'Number Density'!K17*Parameters!$B$13))</f>
        <v/>
      </c>
      <c r="L17" s="21">
        <f>IF('Number Density'!$L17=0,"",'Number Density'!J17*Parameters!$B$12/('Number Density'!H17*$H17+'Number Density'!I17*$I17+'Number Density'!J17*Parameters!$B$12+'Number Density'!K17*Parameters!$B$13))</f>
        <v/>
      </c>
      <c r="M17" s="21">
        <f>IF('Number Density'!$L17=0,"",'Number Density'!K17*Parameters!$B$13/('Number Density'!H17*$H17+'Number Density'!I17*$I17+'Number Density'!J17*Parameters!$B$12+'Number Density'!K17*Parameters!$B$13))</f>
        <v/>
      </c>
      <c r="N17" s="21">
        <f>IF('Number Density'!$Q17=0,"",'Number Density'!M17*$H17/('Number Density'!M17*$H17+'Number Density'!N17*$I17+'Number Density'!O17*Parameters!$B$12+'Number Density'!P17*Parameters!$B$13))</f>
        <v/>
      </c>
      <c r="O17" s="21">
        <f>IF('Number Density'!$Q17=0,"",'Number Density'!N17*$I17/('Number Density'!M17*$H17+'Number Density'!N17*$I17+'Number Density'!O17*Parameters!$B$12+'Number Density'!P17*Parameters!$B$13))</f>
        <v/>
      </c>
      <c r="P17" s="21">
        <f>IF('Number Density'!$Q17=0,"",'Number Density'!O17*Parameters!$B$12/('Number Density'!M17*$H17+'Number Density'!N17*$I17+'Number Density'!O17*Parameters!$B$12+'Number Density'!P17*Parameters!$B$13))</f>
        <v/>
      </c>
      <c r="Q17" s="21">
        <f>IF('Number Density'!$Q17=0,"",'Number Density'!P17*Parameters!$B$13/('Number Density'!M17*$H17+'Number Density'!N17*$I17+'Number Density'!O17*Parameters!$B$12+'Number Density'!P17*Parameters!$B$13))</f>
        <v/>
      </c>
    </row>
    <row r="18">
      <c r="A18" s="27" t="n">
        <v>15</v>
      </c>
      <c r="B18" s="28" t="inlineStr">
        <is>
          <t>thymol:eugenol [30C] - PHE 40</t>
        </is>
      </c>
      <c r="C18" s="28" t="inlineStr">
        <is>
          <t>THY:EUG-30C - PHE 40</t>
        </is>
      </c>
      <c r="D18" s="27" t="n">
        <v>40</v>
      </c>
      <c r="E18" s="29" t="inlineStr">
        <is>
          <t>thymol</t>
        </is>
      </c>
      <c r="F18" s="29" t="inlineStr">
        <is>
          <t>eugenol</t>
        </is>
      </c>
      <c r="G18" s="30" t="inlineStr">
        <is>
          <t>Simulation failed</t>
        </is>
      </c>
      <c r="H18" s="36">
        <f>INDEX(Parameters!$B$6:$B$13,MATCH(E18,Parameters!$A$6:$A$13,0))</f>
        <v/>
      </c>
      <c r="I18" s="36">
        <f>INDEX(Parameters!$B$6:$B$13,MATCH(F18,Parameters!$A$6:$A$13,0))</f>
        <v/>
      </c>
      <c r="J18" s="31">
        <f>IF('Number Density'!$L18=0,"",'Number Density'!H18*$H18/('Number Density'!H18*$H18+'Number Density'!I18*$I18+'Number Density'!J18*Parameters!$B$12+'Number Density'!K18*Parameters!$B$13))</f>
        <v/>
      </c>
      <c r="K18" s="31">
        <f>IF('Number Density'!$L18=0,"",'Number Density'!I18*$I18/('Number Density'!H18*$H18+'Number Density'!I18*$I18+'Number Density'!J18*Parameters!$B$12+'Number Density'!K18*Parameters!$B$13))</f>
        <v/>
      </c>
      <c r="L18" s="31">
        <f>IF('Number Density'!$L18=0,"",'Number Density'!J18*Parameters!$B$12/('Number Density'!H18*$H18+'Number Density'!I18*$I18+'Number Density'!J18*Parameters!$B$12+'Number Density'!K18*Parameters!$B$13))</f>
        <v/>
      </c>
      <c r="M18" s="31">
        <f>IF('Number Density'!$L18=0,"",'Number Density'!K18*Parameters!$B$13/('Number Density'!H18*$H18+'Number Density'!I18*$I18+'Number Density'!J18*Parameters!$B$12+'Number Density'!K18*Parameters!$B$13))</f>
        <v/>
      </c>
      <c r="N18" s="31">
        <f>IF('Number Density'!$Q18=0,"",'Number Density'!M18*$H18/('Number Density'!M18*$H18+'Number Density'!N18*$I18+'Number Density'!O18*Parameters!$B$12+'Number Density'!P18*Parameters!$B$13))</f>
        <v/>
      </c>
      <c r="O18" s="31">
        <f>IF('Number Density'!$Q18=0,"",'Number Density'!N18*$I18/('Number Density'!M18*$H18+'Number Density'!N18*$I18+'Number Density'!O18*Parameters!$B$12+'Number Density'!P18*Parameters!$B$13))</f>
        <v/>
      </c>
      <c r="P18" s="31">
        <f>IF('Number Density'!$Q18=0,"",'Number Density'!O18*Parameters!$B$12/('Number Density'!M18*$H18+'Number Density'!N18*$I18+'Number Density'!O18*Parameters!$B$12+'Number Density'!P18*Parameters!$B$13))</f>
        <v/>
      </c>
      <c r="Q18" s="31">
        <f>IF('Number Density'!$Q18=0,"",'Number Density'!P18*Parameters!$B$13/('Number Density'!M18*$H18+'Number Density'!N18*$I18+'Number Density'!O18*Parameters!$B$12+'Number Density'!P18*Parameters!$B$13))</f>
        <v/>
      </c>
    </row>
    <row r="19">
      <c r="A19" s="27" t="n">
        <v>16</v>
      </c>
      <c r="B19" s="28" t="inlineStr">
        <is>
          <t>thymol:geraniol [30C] - PHE 40</t>
        </is>
      </c>
      <c r="C19" s="28" t="inlineStr">
        <is>
          <t>THY:GER-30C - PHE 40</t>
        </is>
      </c>
      <c r="D19" s="27" t="n">
        <v>40</v>
      </c>
      <c r="E19" s="29" t="inlineStr">
        <is>
          <t>thymol</t>
        </is>
      </c>
      <c r="F19" s="29" t="inlineStr">
        <is>
          <t>geraniol</t>
        </is>
      </c>
      <c r="G19" s="30" t="inlineStr">
        <is>
          <t>Simulation failed</t>
        </is>
      </c>
      <c r="H19" s="36">
        <f>INDEX(Parameters!$B$6:$B$13,MATCH(E19,Parameters!$A$6:$A$13,0))</f>
        <v/>
      </c>
      <c r="I19" s="36">
        <f>INDEX(Parameters!$B$6:$B$13,MATCH(F19,Parameters!$A$6:$A$13,0))</f>
        <v/>
      </c>
      <c r="J19" s="31">
        <f>IF('Number Density'!$L19=0,"",'Number Density'!H19*$H19/('Number Density'!H19*$H19+'Number Density'!I19*$I19+'Number Density'!J19*Parameters!$B$12+'Number Density'!K19*Parameters!$B$13))</f>
        <v/>
      </c>
      <c r="K19" s="31">
        <f>IF('Number Density'!$L19=0,"",'Number Density'!I19*$I19/('Number Density'!H19*$H19+'Number Density'!I19*$I19+'Number Density'!J19*Parameters!$B$12+'Number Density'!K19*Parameters!$B$13))</f>
        <v/>
      </c>
      <c r="L19" s="31">
        <f>IF('Number Density'!$L19=0,"",'Number Density'!J19*Parameters!$B$12/('Number Density'!H19*$H19+'Number Density'!I19*$I19+'Number Density'!J19*Parameters!$B$12+'Number Density'!K19*Parameters!$B$13))</f>
        <v/>
      </c>
      <c r="M19" s="31">
        <f>IF('Number Density'!$L19=0,"",'Number Density'!K19*Parameters!$B$13/('Number Density'!H19*$H19+'Number Density'!I19*$I19+'Number Density'!J19*Parameters!$B$12+'Number Density'!K19*Parameters!$B$13))</f>
        <v/>
      </c>
      <c r="N19" s="31">
        <f>IF('Number Density'!$Q19=0,"",'Number Density'!M19*$H19/('Number Density'!M19*$H19+'Number Density'!N19*$I19+'Number Density'!O19*Parameters!$B$12+'Number Density'!P19*Parameters!$B$13))</f>
        <v/>
      </c>
      <c r="O19" s="31">
        <f>IF('Number Density'!$Q19=0,"",'Number Density'!N19*$I19/('Number Density'!M19*$H19+'Number Density'!N19*$I19+'Number Density'!O19*Parameters!$B$12+'Number Density'!P19*Parameters!$B$13))</f>
        <v/>
      </c>
      <c r="P19" s="31">
        <f>IF('Number Density'!$Q19=0,"",'Number Density'!O19*Parameters!$B$12/('Number Density'!M19*$H19+'Number Density'!N19*$I19+'Number Density'!O19*Parameters!$B$12+'Number Density'!P19*Parameters!$B$13))</f>
        <v/>
      </c>
      <c r="Q19" s="31">
        <f>IF('Number Density'!$Q19=0,"",'Number Density'!P19*Parameters!$B$13/('Number Density'!M19*$H19+'Number Density'!N19*$I19+'Number Density'!O19*Parameters!$B$12+'Number Density'!P19*Parameters!$B$13))</f>
        <v/>
      </c>
    </row>
    <row r="20">
      <c r="A20" s="7" t="n">
        <v>17</v>
      </c>
      <c r="B20" s="8" t="inlineStr">
        <is>
          <t>camphor:carvone [30C] - PHE 80</t>
        </is>
      </c>
      <c r="C20" s="8" t="inlineStr">
        <is>
          <t>CAM:CVN-30C - PHE 80</t>
        </is>
      </c>
      <c r="D20" s="7" t="n">
        <v>80</v>
      </c>
      <c r="E20" s="9" t="inlineStr">
        <is>
          <t>camphor</t>
        </is>
      </c>
      <c r="F20" s="9" t="inlineStr">
        <is>
          <t>carvone</t>
        </is>
      </c>
      <c r="G20" s="10" t="inlineStr">
        <is>
          <t>OK</t>
        </is>
      </c>
      <c r="H20" s="32">
        <f>INDEX(Parameters!$B$6:$B$13,MATCH(E20,Parameters!$A$6:$A$13,0))</f>
        <v/>
      </c>
      <c r="I20" s="32">
        <f>INDEX(Parameters!$B$6:$B$13,MATCH(F20,Parameters!$A$6:$A$13,0))</f>
        <v/>
      </c>
      <c r="J20" s="11">
        <f>IF('Number Density'!$L20=0,"",'Number Density'!H20*$H20/('Number Density'!H20*$H20+'Number Density'!I20*$I20+'Number Density'!J20*Parameters!$B$12+'Number Density'!K20*Parameters!$B$13))</f>
        <v/>
      </c>
      <c r="K20" s="11">
        <f>IF('Number Density'!$L20=0,"",'Number Density'!I20*$I20/('Number Density'!H20*$H20+'Number Density'!I20*$I20+'Number Density'!J20*Parameters!$B$12+'Number Density'!K20*Parameters!$B$13))</f>
        <v/>
      </c>
      <c r="L20" s="11">
        <f>IF('Number Density'!$L20=0,"",'Number Density'!J20*Parameters!$B$12/('Number Density'!H20*$H20+'Number Density'!I20*$I20+'Number Density'!J20*Parameters!$B$12+'Number Density'!K20*Parameters!$B$13))</f>
        <v/>
      </c>
      <c r="M20" s="11">
        <f>IF('Number Density'!$L20=0,"",'Number Density'!K20*Parameters!$B$13/('Number Density'!H20*$H20+'Number Density'!I20*$I20+'Number Density'!J20*Parameters!$B$12+'Number Density'!K20*Parameters!$B$13))</f>
        <v/>
      </c>
      <c r="N20" s="11">
        <f>IF('Number Density'!$Q20=0,"",'Number Density'!M20*$H20/('Number Density'!M20*$H20+'Number Density'!N20*$I20+'Number Density'!O20*Parameters!$B$12+'Number Density'!P20*Parameters!$B$13))</f>
        <v/>
      </c>
      <c r="O20" s="11">
        <f>IF('Number Density'!$Q20=0,"",'Number Density'!N20*$I20/('Number Density'!M20*$H20+'Number Density'!N20*$I20+'Number Density'!O20*Parameters!$B$12+'Number Density'!P20*Parameters!$B$13))</f>
        <v/>
      </c>
      <c r="P20" s="11">
        <f>IF('Number Density'!$Q20=0,"",'Number Density'!O20*Parameters!$B$12/('Number Density'!M20*$H20+'Number Density'!N20*$I20+'Number Density'!O20*Parameters!$B$12+'Number Density'!P20*Parameters!$B$13))</f>
        <v/>
      </c>
      <c r="Q20" s="11">
        <f>IF('Number Density'!$Q20=0,"",'Number Density'!P20*Parameters!$B$13/('Number Density'!M20*$H20+'Number Density'!N20*$I20+'Number Density'!O20*Parameters!$B$12+'Number Density'!P20*Parameters!$B$13))</f>
        <v/>
      </c>
    </row>
    <row r="21">
      <c r="A21" s="27" t="n">
        <v>18</v>
      </c>
      <c r="B21" s="28" t="inlineStr">
        <is>
          <t>camphor:carvacrol [30C] - PHE 80</t>
        </is>
      </c>
      <c r="C21" s="28" t="inlineStr">
        <is>
          <t>CAM:CVC-30C - PHE 80</t>
        </is>
      </c>
      <c r="D21" s="27" t="n">
        <v>80</v>
      </c>
      <c r="E21" s="29" t="inlineStr">
        <is>
          <t>camphor</t>
        </is>
      </c>
      <c r="F21" s="29" t="inlineStr">
        <is>
          <t>carvacrol</t>
        </is>
      </c>
      <c r="G21" s="30" t="inlineStr">
        <is>
          <t>Simulation failed</t>
        </is>
      </c>
      <c r="H21" s="36">
        <f>INDEX(Parameters!$B$6:$B$13,MATCH(E21,Parameters!$A$6:$A$13,0))</f>
        <v/>
      </c>
      <c r="I21" s="36">
        <f>INDEX(Parameters!$B$6:$B$13,MATCH(F21,Parameters!$A$6:$A$13,0))</f>
        <v/>
      </c>
      <c r="J21" s="31">
        <f>IF('Number Density'!$L21=0,"",'Number Density'!H21*$H21/('Number Density'!H21*$H21+'Number Density'!I21*$I21+'Number Density'!J21*Parameters!$B$12+'Number Density'!K21*Parameters!$B$13))</f>
        <v/>
      </c>
      <c r="K21" s="31">
        <f>IF('Number Density'!$L21=0,"",'Number Density'!I21*$I21/('Number Density'!H21*$H21+'Number Density'!I21*$I21+'Number Density'!J21*Parameters!$B$12+'Number Density'!K21*Parameters!$B$13))</f>
        <v/>
      </c>
      <c r="L21" s="31">
        <f>IF('Number Density'!$L21=0,"",'Number Density'!J21*Parameters!$B$12/('Number Density'!H21*$H21+'Number Density'!I21*$I21+'Number Density'!J21*Parameters!$B$12+'Number Density'!K21*Parameters!$B$13))</f>
        <v/>
      </c>
      <c r="M21" s="31">
        <f>IF('Number Density'!$L21=0,"",'Number Density'!K21*Parameters!$B$13/('Number Density'!H21*$H21+'Number Density'!I21*$I21+'Number Density'!J21*Parameters!$B$12+'Number Density'!K21*Parameters!$B$13))</f>
        <v/>
      </c>
      <c r="N21" s="31">
        <f>IF('Number Density'!$Q21=0,"",'Number Density'!M21*$H21/('Number Density'!M21*$H21+'Number Density'!N21*$I21+'Number Density'!O21*Parameters!$B$12+'Number Density'!P21*Parameters!$B$13))</f>
        <v/>
      </c>
      <c r="O21" s="31">
        <f>IF('Number Density'!$Q21=0,"",'Number Density'!N21*$I21/('Number Density'!M21*$H21+'Number Density'!N21*$I21+'Number Density'!O21*Parameters!$B$12+'Number Density'!P21*Parameters!$B$13))</f>
        <v/>
      </c>
      <c r="P21" s="31">
        <f>IF('Number Density'!$Q21=0,"",'Number Density'!O21*Parameters!$B$12/('Number Density'!M21*$H21+'Number Density'!N21*$I21+'Number Density'!O21*Parameters!$B$12+'Number Density'!P21*Parameters!$B$13))</f>
        <v/>
      </c>
      <c r="Q21" s="31">
        <f>IF('Number Density'!$Q21=0,"",'Number Density'!P21*Parameters!$B$13/('Number Density'!M21*$H21+'Number Density'!N21*$I21+'Number Density'!O21*Parameters!$B$12+'Number Density'!P21*Parameters!$B$13))</f>
        <v/>
      </c>
    </row>
    <row r="22">
      <c r="A22" s="7" t="n">
        <v>19</v>
      </c>
      <c r="B22" s="8" t="inlineStr">
        <is>
          <t>camphor:eugenol [30C] - PHE 80</t>
        </is>
      </c>
      <c r="C22" s="8" t="inlineStr">
        <is>
          <t>CAM:EUG-30C - PHE 80</t>
        </is>
      </c>
      <c r="D22" s="7" t="n">
        <v>80</v>
      </c>
      <c r="E22" s="9" t="inlineStr">
        <is>
          <t>camphor</t>
        </is>
      </c>
      <c r="F22" s="9" t="inlineStr">
        <is>
          <t>eugenol</t>
        </is>
      </c>
      <c r="G22" s="10" t="inlineStr">
        <is>
          <t>OK</t>
        </is>
      </c>
      <c r="H22" s="32">
        <f>INDEX(Parameters!$B$6:$B$13,MATCH(E22,Parameters!$A$6:$A$13,0))</f>
        <v/>
      </c>
      <c r="I22" s="32">
        <f>INDEX(Parameters!$B$6:$B$13,MATCH(F22,Parameters!$A$6:$A$13,0))</f>
        <v/>
      </c>
      <c r="J22" s="11">
        <f>IF('Number Density'!$L22=0,"",'Number Density'!H22*$H22/('Number Density'!H22*$H22+'Number Density'!I22*$I22+'Number Density'!J22*Parameters!$B$12+'Number Density'!K22*Parameters!$B$13))</f>
        <v/>
      </c>
      <c r="K22" s="11">
        <f>IF('Number Density'!$L22=0,"",'Number Density'!I22*$I22/('Number Density'!H22*$H22+'Number Density'!I22*$I22+'Number Density'!J22*Parameters!$B$12+'Number Density'!K22*Parameters!$B$13))</f>
        <v/>
      </c>
      <c r="L22" s="11">
        <f>IF('Number Density'!$L22=0,"",'Number Density'!J22*Parameters!$B$12/('Number Density'!H22*$H22+'Number Density'!I22*$I22+'Number Density'!J22*Parameters!$B$12+'Number Density'!K22*Parameters!$B$13))</f>
        <v/>
      </c>
      <c r="M22" s="11">
        <f>IF('Number Density'!$L22=0,"",'Number Density'!K22*Parameters!$B$13/('Number Density'!H22*$H22+'Number Density'!I22*$I22+'Number Density'!J22*Parameters!$B$12+'Number Density'!K22*Parameters!$B$13))</f>
        <v/>
      </c>
      <c r="N22" s="11">
        <f>IF('Number Density'!$Q22=0,"",'Number Density'!M22*$H22/('Number Density'!M22*$H22+'Number Density'!N22*$I22+'Number Density'!O22*Parameters!$B$12+'Number Density'!P22*Parameters!$B$13))</f>
        <v/>
      </c>
      <c r="O22" s="11">
        <f>IF('Number Density'!$Q22=0,"",'Number Density'!N22*$I22/('Number Density'!M22*$H22+'Number Density'!N22*$I22+'Number Density'!O22*Parameters!$B$12+'Number Density'!P22*Parameters!$B$13))</f>
        <v/>
      </c>
      <c r="P22" s="11">
        <f>IF('Number Density'!$Q22=0,"",'Number Density'!O22*Parameters!$B$12/('Number Density'!M22*$H22+'Number Density'!N22*$I22+'Number Density'!O22*Parameters!$B$12+'Number Density'!P22*Parameters!$B$13))</f>
        <v/>
      </c>
      <c r="Q22" s="11">
        <f>IF('Number Density'!$Q22=0,"",'Number Density'!P22*Parameters!$B$13/('Number Density'!M22*$H22+'Number Density'!N22*$I22+'Number Density'!O22*Parameters!$B$12+'Number Density'!P22*Parameters!$B$13))</f>
        <v/>
      </c>
    </row>
    <row r="23">
      <c r="A23" s="12" t="n">
        <v>20</v>
      </c>
      <c r="B23" s="13" t="inlineStr">
        <is>
          <t>thymol:camphor [30C] - PHE 80</t>
        </is>
      </c>
      <c r="C23" s="13" t="inlineStr">
        <is>
          <t>THY:CAM-30C - PHE 80</t>
        </is>
      </c>
      <c r="D23" s="12" t="n">
        <v>80</v>
      </c>
      <c r="E23" s="14" t="inlineStr">
        <is>
          <t>thymol</t>
        </is>
      </c>
      <c r="F23" s="14" t="inlineStr">
        <is>
          <t>camphor</t>
        </is>
      </c>
      <c r="G23" s="15" t="inlineStr">
        <is>
          <t>OK</t>
        </is>
      </c>
      <c r="H23" s="33">
        <f>INDEX(Parameters!$B$6:$B$13,MATCH(E23,Parameters!$A$6:$A$13,0))</f>
        <v/>
      </c>
      <c r="I23" s="33">
        <f>INDEX(Parameters!$B$6:$B$13,MATCH(F23,Parameters!$A$6:$A$13,0))</f>
        <v/>
      </c>
      <c r="J23" s="16">
        <f>IF('Number Density'!$L23=0,"",'Number Density'!H23*$H23/('Number Density'!H23*$H23+'Number Density'!I23*$I23+'Number Density'!J23*Parameters!$B$12+'Number Density'!K23*Parameters!$B$13))</f>
        <v/>
      </c>
      <c r="K23" s="16">
        <f>IF('Number Density'!$L23=0,"",'Number Density'!I23*$I23/('Number Density'!H23*$H23+'Number Density'!I23*$I23+'Number Density'!J23*Parameters!$B$12+'Number Density'!K23*Parameters!$B$13))</f>
        <v/>
      </c>
      <c r="L23" s="16">
        <f>IF('Number Density'!$L23=0,"",'Number Density'!J23*Parameters!$B$12/('Number Density'!H23*$H23+'Number Density'!I23*$I23+'Number Density'!J23*Parameters!$B$12+'Number Density'!K23*Parameters!$B$13))</f>
        <v/>
      </c>
      <c r="M23" s="16">
        <f>IF('Number Density'!$L23=0,"",'Number Density'!K23*Parameters!$B$13/('Number Density'!H23*$H23+'Number Density'!I23*$I23+'Number Density'!J23*Parameters!$B$12+'Number Density'!K23*Parameters!$B$13))</f>
        <v/>
      </c>
      <c r="N23" s="16">
        <f>IF('Number Density'!$Q23=0,"",'Number Density'!M23*$H23/('Number Density'!M23*$H23+'Number Density'!N23*$I23+'Number Density'!O23*Parameters!$B$12+'Number Density'!P23*Parameters!$B$13))</f>
        <v/>
      </c>
      <c r="O23" s="16">
        <f>IF('Number Density'!$Q23=0,"",'Number Density'!N23*$I23/('Number Density'!M23*$H23+'Number Density'!N23*$I23+'Number Density'!O23*Parameters!$B$12+'Number Density'!P23*Parameters!$B$13))</f>
        <v/>
      </c>
      <c r="P23" s="16">
        <f>IF('Number Density'!$Q23=0,"",'Number Density'!O23*Parameters!$B$12/('Number Density'!M23*$H23+'Number Density'!N23*$I23+'Number Density'!O23*Parameters!$B$12+'Number Density'!P23*Parameters!$B$13))</f>
        <v/>
      </c>
      <c r="Q23" s="16">
        <f>IF('Number Density'!$Q23=0,"",'Number Density'!P23*Parameters!$B$13/('Number Density'!M23*$H23+'Number Density'!N23*$I23+'Number Density'!O23*Parameters!$B$12+'Number Density'!P23*Parameters!$B$13))</f>
        <v/>
      </c>
    </row>
    <row r="24">
      <c r="A24" s="27" t="n">
        <v>21</v>
      </c>
      <c r="B24" s="28" t="inlineStr">
        <is>
          <t>thymol:carvone [30C] - PHE 80</t>
        </is>
      </c>
      <c r="C24" s="28" t="inlineStr">
        <is>
          <t>THY:CVN-30C - PHE 80</t>
        </is>
      </c>
      <c r="D24" s="27" t="n">
        <v>80</v>
      </c>
      <c r="E24" s="29" t="inlineStr">
        <is>
          <t>thymol</t>
        </is>
      </c>
      <c r="F24" s="29" t="inlineStr">
        <is>
          <t>carvone</t>
        </is>
      </c>
      <c r="G24" s="30" t="inlineStr">
        <is>
          <t>Simulation failed</t>
        </is>
      </c>
      <c r="H24" s="36">
        <f>INDEX(Parameters!$B$6:$B$13,MATCH(E24,Parameters!$A$6:$A$13,0))</f>
        <v/>
      </c>
      <c r="I24" s="36">
        <f>INDEX(Parameters!$B$6:$B$13,MATCH(F24,Parameters!$A$6:$A$13,0))</f>
        <v/>
      </c>
      <c r="J24" s="31">
        <f>IF('Number Density'!$L24=0,"",'Number Density'!H24*$H24/('Number Density'!H24*$H24+'Number Density'!I24*$I24+'Number Density'!J24*Parameters!$B$12+'Number Density'!K24*Parameters!$B$13))</f>
        <v/>
      </c>
      <c r="K24" s="31">
        <f>IF('Number Density'!$L24=0,"",'Number Density'!I24*$I24/('Number Density'!H24*$H24+'Number Density'!I24*$I24+'Number Density'!J24*Parameters!$B$12+'Number Density'!K24*Parameters!$B$13))</f>
        <v/>
      </c>
      <c r="L24" s="31">
        <f>IF('Number Density'!$L24=0,"",'Number Density'!J24*Parameters!$B$12/('Number Density'!H24*$H24+'Number Density'!I24*$I24+'Number Density'!J24*Parameters!$B$12+'Number Density'!K24*Parameters!$B$13))</f>
        <v/>
      </c>
      <c r="M24" s="31">
        <f>IF('Number Density'!$L24=0,"",'Number Density'!K24*Parameters!$B$13/('Number Density'!H24*$H24+'Number Density'!I24*$I24+'Number Density'!J24*Parameters!$B$12+'Number Density'!K24*Parameters!$B$13))</f>
        <v/>
      </c>
      <c r="N24" s="31">
        <f>IF('Number Density'!$Q24=0,"",'Number Density'!M24*$H24/('Number Density'!M24*$H24+'Number Density'!N24*$I24+'Number Density'!O24*Parameters!$B$12+'Number Density'!P24*Parameters!$B$13))</f>
        <v/>
      </c>
      <c r="O24" s="31">
        <f>IF('Number Density'!$Q24=0,"",'Number Density'!N24*$I24/('Number Density'!M24*$H24+'Number Density'!N24*$I24+'Number Density'!O24*Parameters!$B$12+'Number Density'!P24*Parameters!$B$13))</f>
        <v/>
      </c>
      <c r="P24" s="31">
        <f>IF('Number Density'!$Q24=0,"",'Number Density'!O24*Parameters!$B$12/('Number Density'!M24*$H24+'Number Density'!N24*$I24+'Number Density'!O24*Parameters!$B$12+'Number Density'!P24*Parameters!$B$13))</f>
        <v/>
      </c>
      <c r="Q24" s="31">
        <f>IF('Number Density'!$Q24=0,"",'Number Density'!P24*Parameters!$B$13/('Number Density'!M24*$H24+'Number Density'!N24*$I24+'Number Density'!O24*Parameters!$B$12+'Number Density'!P24*Parameters!$B$13))</f>
        <v/>
      </c>
    </row>
    <row r="25">
      <c r="A25" s="22" t="n">
        <v>22</v>
      </c>
      <c r="B25" s="23" t="inlineStr">
        <is>
          <t>thymol:carvacrol [30C] - PHE 80</t>
        </is>
      </c>
      <c r="C25" s="23" t="inlineStr">
        <is>
          <t>THY:CVC-30C - PHE 80</t>
        </is>
      </c>
      <c r="D25" s="22" t="n">
        <v>80</v>
      </c>
      <c r="E25" s="24" t="inlineStr">
        <is>
          <t>thymol</t>
        </is>
      </c>
      <c r="F25" s="24" t="inlineStr">
        <is>
          <t>carvacrol</t>
        </is>
      </c>
      <c r="G25" s="25" t="inlineStr">
        <is>
          <t>More simulation time</t>
        </is>
      </c>
      <c r="H25" s="35">
        <f>INDEX(Parameters!$B$6:$B$13,MATCH(E25,Parameters!$A$6:$A$13,0))</f>
        <v/>
      </c>
      <c r="I25" s="35">
        <f>INDEX(Parameters!$B$6:$B$13,MATCH(F25,Parameters!$A$6:$A$13,0))</f>
        <v/>
      </c>
      <c r="J25" s="26">
        <f>IF('Number Density'!$L25=0,"",'Number Density'!H25*$H25/('Number Density'!H25*$H25+'Number Density'!I25*$I25+'Number Density'!J25*Parameters!$B$12+'Number Density'!K25*Parameters!$B$13))</f>
        <v/>
      </c>
      <c r="K25" s="26">
        <f>IF('Number Density'!$L25=0,"",'Number Density'!I25*$I25/('Number Density'!H25*$H25+'Number Density'!I25*$I25+'Number Density'!J25*Parameters!$B$12+'Number Density'!K25*Parameters!$B$13))</f>
        <v/>
      </c>
      <c r="L25" s="26">
        <f>IF('Number Density'!$L25=0,"",'Number Density'!J25*Parameters!$B$12/('Number Density'!H25*$H25+'Number Density'!I25*$I25+'Number Density'!J25*Parameters!$B$12+'Number Density'!K25*Parameters!$B$13))</f>
        <v/>
      </c>
      <c r="M25" s="26">
        <f>IF('Number Density'!$L25=0,"",'Number Density'!K25*Parameters!$B$13/('Number Density'!H25*$H25+'Number Density'!I25*$I25+'Number Density'!J25*Parameters!$B$12+'Number Density'!K25*Parameters!$B$13))</f>
        <v/>
      </c>
      <c r="N25" s="26">
        <f>IF('Number Density'!$Q25=0,"",'Number Density'!M25*$H25/('Number Density'!M25*$H25+'Number Density'!N25*$I25+'Number Density'!O25*Parameters!$B$12+'Number Density'!P25*Parameters!$B$13))</f>
        <v/>
      </c>
      <c r="O25" s="26">
        <f>IF('Number Density'!$Q25=0,"",'Number Density'!N25*$I25/('Number Density'!M25*$H25+'Number Density'!N25*$I25+'Number Density'!O25*Parameters!$B$12+'Number Density'!P25*Parameters!$B$13))</f>
        <v/>
      </c>
      <c r="P25" s="26">
        <f>IF('Number Density'!$Q25=0,"",'Number Density'!O25*Parameters!$B$12/('Number Density'!M25*$H25+'Number Density'!N25*$I25+'Number Density'!O25*Parameters!$B$12+'Number Density'!P25*Parameters!$B$13))</f>
        <v/>
      </c>
      <c r="Q25" s="26">
        <f>IF('Number Density'!$Q25=0,"",'Number Density'!P25*Parameters!$B$13/('Number Density'!M25*$H25+'Number Density'!N25*$I25+'Number Density'!O25*Parameters!$B$12+'Number Density'!P25*Parameters!$B$13))</f>
        <v/>
      </c>
    </row>
    <row r="26">
      <c r="A26" s="27" t="n">
        <v>23</v>
      </c>
      <c r="B26" s="28" t="inlineStr">
        <is>
          <t>thymol:eugenol [30C] - PHE 80</t>
        </is>
      </c>
      <c r="C26" s="28" t="inlineStr">
        <is>
          <t>THY:EUG-30C - PHE 80</t>
        </is>
      </c>
      <c r="D26" s="27" t="n">
        <v>80</v>
      </c>
      <c r="E26" s="29" t="inlineStr">
        <is>
          <t>thymol</t>
        </is>
      </c>
      <c r="F26" s="29" t="inlineStr">
        <is>
          <t>eugenol</t>
        </is>
      </c>
      <c r="G26" s="30" t="inlineStr">
        <is>
          <t>Simulation failed</t>
        </is>
      </c>
      <c r="H26" s="36">
        <f>INDEX(Parameters!$B$6:$B$13,MATCH(E26,Parameters!$A$6:$A$13,0))</f>
        <v/>
      </c>
      <c r="I26" s="36">
        <f>INDEX(Parameters!$B$6:$B$13,MATCH(F26,Parameters!$A$6:$A$13,0))</f>
        <v/>
      </c>
      <c r="J26" s="31">
        <f>IF('Number Density'!$L26=0,"",'Number Density'!H26*$H26/('Number Density'!H26*$H26+'Number Density'!I26*$I26+'Number Density'!J26*Parameters!$B$12+'Number Density'!K26*Parameters!$B$13))</f>
        <v/>
      </c>
      <c r="K26" s="31">
        <f>IF('Number Density'!$L26=0,"",'Number Density'!I26*$I26/('Number Density'!H26*$H26+'Number Density'!I26*$I26+'Number Density'!J26*Parameters!$B$12+'Number Density'!K26*Parameters!$B$13))</f>
        <v/>
      </c>
      <c r="L26" s="31">
        <f>IF('Number Density'!$L26=0,"",'Number Density'!J26*Parameters!$B$12/('Number Density'!H26*$H26+'Number Density'!I26*$I26+'Number Density'!J26*Parameters!$B$12+'Number Density'!K26*Parameters!$B$13))</f>
        <v/>
      </c>
      <c r="M26" s="31">
        <f>IF('Number Density'!$L26=0,"",'Number Density'!K26*Parameters!$B$13/('Number Density'!H26*$H26+'Number Density'!I26*$I26+'Number Density'!J26*Parameters!$B$12+'Number Density'!K26*Parameters!$B$13))</f>
        <v/>
      </c>
      <c r="N26" s="31">
        <f>IF('Number Density'!$Q26=0,"",'Number Density'!M26*$H26/('Number Density'!M26*$H26+'Number Density'!N26*$I26+'Number Density'!O26*Parameters!$B$12+'Number Density'!P26*Parameters!$B$13))</f>
        <v/>
      </c>
      <c r="O26" s="31">
        <f>IF('Number Density'!$Q26=0,"",'Number Density'!N26*$I26/('Number Density'!M26*$H26+'Number Density'!N26*$I26+'Number Density'!O26*Parameters!$B$12+'Number Density'!P26*Parameters!$B$13))</f>
        <v/>
      </c>
      <c r="P26" s="31">
        <f>IF('Number Density'!$Q26=0,"",'Number Density'!O26*Parameters!$B$12/('Number Density'!M26*$H26+'Number Density'!N26*$I26+'Number Density'!O26*Parameters!$B$12+'Number Density'!P26*Parameters!$B$13))</f>
        <v/>
      </c>
      <c r="Q26" s="31">
        <f>IF('Number Density'!$Q26=0,"",'Number Density'!P26*Parameters!$B$13/('Number Density'!M26*$H26+'Number Density'!N26*$I26+'Number Density'!O26*Parameters!$B$12+'Number Density'!P26*Parameters!$B$13))</f>
        <v/>
      </c>
    </row>
    <row r="27">
      <c r="A27" s="12" t="n">
        <v>24</v>
      </c>
      <c r="B27" s="13" t="inlineStr">
        <is>
          <t>thymol:geraniol [30C] - PHE 80</t>
        </is>
      </c>
      <c r="C27" s="13" t="inlineStr">
        <is>
          <t>THY:GER-30C - PHE 80</t>
        </is>
      </c>
      <c r="D27" s="12" t="n">
        <v>80</v>
      </c>
      <c r="E27" s="14" t="inlineStr">
        <is>
          <t>thymol</t>
        </is>
      </c>
      <c r="F27" s="14" t="inlineStr">
        <is>
          <t>geraniol</t>
        </is>
      </c>
      <c r="G27" s="15" t="inlineStr">
        <is>
          <t>OK</t>
        </is>
      </c>
      <c r="H27" s="33">
        <f>INDEX(Parameters!$B$6:$B$13,MATCH(E27,Parameters!$A$6:$A$13,0))</f>
        <v/>
      </c>
      <c r="I27" s="33">
        <f>INDEX(Parameters!$B$6:$B$13,MATCH(F27,Parameters!$A$6:$A$13,0))</f>
        <v/>
      </c>
      <c r="J27" s="16">
        <f>IF('Number Density'!$L27=0,"",'Number Density'!H27*$H27/('Number Density'!H27*$H27+'Number Density'!I27*$I27+'Number Density'!J27*Parameters!$B$12+'Number Density'!K27*Parameters!$B$13))</f>
        <v/>
      </c>
      <c r="K27" s="16">
        <f>IF('Number Density'!$L27=0,"",'Number Density'!I27*$I27/('Number Density'!H27*$H27+'Number Density'!I27*$I27+'Number Density'!J27*Parameters!$B$12+'Number Density'!K27*Parameters!$B$13))</f>
        <v/>
      </c>
      <c r="L27" s="16">
        <f>IF('Number Density'!$L27=0,"",'Number Density'!J27*Parameters!$B$12/('Number Density'!H27*$H27+'Number Density'!I27*$I27+'Number Density'!J27*Parameters!$B$12+'Number Density'!K27*Parameters!$B$13))</f>
        <v/>
      </c>
      <c r="M27" s="16">
        <f>IF('Number Density'!$L27=0,"",'Number Density'!K27*Parameters!$B$13/('Number Density'!H27*$H27+'Number Density'!I27*$I27+'Number Density'!J27*Parameters!$B$12+'Number Density'!K27*Parameters!$B$13))</f>
        <v/>
      </c>
      <c r="N27" s="16">
        <f>IF('Number Density'!$Q27=0,"",'Number Density'!M27*$H27/('Number Density'!M27*$H27+'Number Density'!N27*$I27+'Number Density'!O27*Parameters!$B$12+'Number Density'!P27*Parameters!$B$13))</f>
        <v/>
      </c>
      <c r="O27" s="16">
        <f>IF('Number Density'!$Q27=0,"",'Number Density'!N27*$I27/('Number Density'!M27*$H27+'Number Density'!N27*$I27+'Number Density'!O27*Parameters!$B$12+'Number Density'!P27*Parameters!$B$13))</f>
        <v/>
      </c>
      <c r="P27" s="16">
        <f>IF('Number Density'!$Q27=0,"",'Number Density'!O27*Parameters!$B$12/('Number Density'!M27*$H27+'Number Density'!N27*$I27+'Number Density'!O27*Parameters!$B$12+'Number Density'!P27*Parameters!$B$13))</f>
        <v/>
      </c>
      <c r="Q27" s="16">
        <f>IF('Number Density'!$Q27=0,"",'Number Density'!P27*Parameters!$B$13/('Number Density'!M27*$H27+'Number Density'!N27*$I27+'Number Density'!O27*Parameters!$B$12+'Number Density'!P27*Parameters!$B$13))</f>
        <v/>
      </c>
    </row>
  </sheetData>
  <mergeCells count="4">
    <mergeCell ref="N2:Q2"/>
    <mergeCell ref="A1:Q1"/>
    <mergeCell ref="A2:I2"/>
    <mergeCell ref="J2:M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zoomScaleNormal="100" workbookViewId="0">
      <selection activeCell="A1" sqref="A1"/>
    </sheetView>
  </sheetViews>
  <sheetFormatPr baseColWidth="10" defaultColWidth="8.6640625" defaultRowHeight="15"/>
  <cols>
    <col width="22" customWidth="1" min="1" max="1"/>
    <col width="52" customWidth="1" min="2" max="2"/>
    <col width="18" customWidth="1" min="3" max="3"/>
  </cols>
  <sheetData>
    <row r="1" ht="19.5" customHeight="1">
      <c r="A1" s="1" t="inlineStr">
        <is>
          <t>Parameters &amp; notes  (edit molar masses here — Mass Fractions recalculates)</t>
        </is>
      </c>
    </row>
    <row r="3">
      <c r="A3" s="37" t="inlineStr">
        <is>
          <t>Molar masses used for mass fractions</t>
        </is>
      </c>
    </row>
    <row r="5">
      <c r="A5" s="6" t="inlineStr">
        <is>
          <t>Component</t>
        </is>
      </c>
      <c r="B5" s="6" t="inlineStr">
        <is>
          <t>Molar mass (g/mol)</t>
        </is>
      </c>
      <c r="C5" s="6" t="inlineStr">
        <is>
          <t>Formula</t>
        </is>
      </c>
    </row>
    <row r="6">
      <c r="A6" s="38" t="inlineStr">
        <is>
          <t>camphor</t>
        </is>
      </c>
      <c r="B6" s="39" t="n">
        <v>152.24</v>
      </c>
      <c r="C6" s="40" t="inlineStr">
        <is>
          <t>C10H16O</t>
        </is>
      </c>
    </row>
    <row r="7">
      <c r="A7" s="38" t="inlineStr">
        <is>
          <t>carvone</t>
        </is>
      </c>
      <c r="B7" s="39" t="n">
        <v>150.22</v>
      </c>
      <c r="C7" s="40" t="inlineStr">
        <is>
          <t>C10H14O</t>
        </is>
      </c>
    </row>
    <row r="8">
      <c r="A8" s="38" t="inlineStr">
        <is>
          <t>carvacrol</t>
        </is>
      </c>
      <c r="B8" s="39" t="n">
        <v>150.22</v>
      </c>
      <c r="C8" s="40" t="inlineStr">
        <is>
          <t>C10H14O</t>
        </is>
      </c>
    </row>
    <row r="9">
      <c r="A9" s="38" t="inlineStr">
        <is>
          <t>eugenol</t>
        </is>
      </c>
      <c r="B9" s="39" t="n">
        <v>164.2</v>
      </c>
      <c r="C9" s="40" t="inlineStr">
        <is>
          <t>C10H12O2</t>
        </is>
      </c>
    </row>
    <row r="10">
      <c r="A10" s="38" t="inlineStr">
        <is>
          <t>thymol</t>
        </is>
      </c>
      <c r="B10" s="39" t="n">
        <v>150.22</v>
      </c>
      <c r="C10" s="40" t="inlineStr">
        <is>
          <t>C10H14O</t>
        </is>
      </c>
    </row>
    <row r="11">
      <c r="A11" s="38" t="inlineStr">
        <is>
          <t>geraniol</t>
        </is>
      </c>
      <c r="B11" s="39" t="n">
        <v>154.25</v>
      </c>
      <c r="C11" s="40" t="inlineStr">
        <is>
          <t>C10H18O</t>
        </is>
      </c>
    </row>
    <row r="12">
      <c r="A12" s="38" t="inlineStr">
        <is>
          <t>water</t>
        </is>
      </c>
      <c r="B12" s="39" t="n">
        <v>18.02</v>
      </c>
      <c r="C12" s="40" t="inlineStr">
        <is>
          <t>H2O — see note 4</t>
        </is>
      </c>
    </row>
    <row r="13">
      <c r="A13" s="38" t="inlineStr">
        <is>
          <t>2-phenylethanol</t>
        </is>
      </c>
      <c r="B13" s="39" t="n">
        <v>122.17</v>
      </c>
      <c r="C13" s="40" t="inlineStr">
        <is>
          <t>C8H10O</t>
        </is>
      </c>
    </row>
    <row r="15">
      <c r="A15" s="37" t="inlineStr">
        <is>
          <t>System status legend</t>
        </is>
      </c>
    </row>
    <row r="16">
      <c r="A16" s="10" t="inlineStr">
        <is>
          <t>OK</t>
        </is>
      </c>
      <c r="B16" s="41" t="inlineStr">
        <is>
          <t>Two-phase result used as-is</t>
        </is>
      </c>
    </row>
    <row r="17">
      <c r="A17" s="42" t="inlineStr">
        <is>
          <t>Simulation failed</t>
        </is>
      </c>
      <c r="B17" s="41" t="inlineStr">
        <is>
          <t>number_density.xvg not found — systems 8, 10, 15, 16, 18, 21, 23</t>
        </is>
      </c>
    </row>
    <row r="18">
      <c r="A18" s="43" t="inlineStr">
        <is>
          <t>Bad initial configuration</t>
        </is>
      </c>
      <c r="B18" s="41" t="inlineStr">
        <is>
          <t>systems 6, 14 — interpret tie-line with caution</t>
        </is>
      </c>
    </row>
    <row r="19">
      <c r="A19" s="44" t="inlineStr">
        <is>
          <t>More simulation time</t>
        </is>
      </c>
      <c r="B19" s="41" t="inlineStr">
        <is>
          <t>systems 7, 22 — not fully converged; longer run needed</t>
        </is>
      </c>
    </row>
    <row r="21">
      <c r="A21" s="41" t="n"/>
    </row>
    <row r="22">
      <c r="A22" s="37" t="inlineStr">
        <is>
          <t>How the tie-lines are built</t>
        </is>
      </c>
    </row>
    <row r="23">
      <c r="A23" s="41" t="inlineStr">
        <is>
          <t>• Each row is one tie-line: DES-rich phase (left) and coexisting water-rich phase (right).</t>
        </is>
      </c>
    </row>
    <row r="24">
      <c r="A24" s="41" t="inlineStr">
        <is>
          <t>• HBA = first-named DES component, HBD = second-named (verified against the density data).</t>
        </is>
      </c>
    </row>
    <row r="25">
      <c r="A25" s="41" t="inlineStr">
        <is>
          <t>• Mole fraction:  xᵢ = nᵢ / Σn  per phase.   Mass fraction:  wᵢ = nᵢMᵢ / Σ(nⱼMⱼ)  per phase.</t>
        </is>
      </c>
    </row>
    <row r="26">
      <c r="A26" s="41" t="n"/>
    </row>
    <row r="27">
      <c r="A27" s="37" t="inlineStr">
        <is>
          <t>Assumptions to check</t>
        </is>
      </c>
    </row>
    <row r="28">
      <c r="A28" s="41" t="inlineStr">
        <is>
          <t>1. Number densities (nm⁻³) are your recomputed source data; all fractions are live formulas.</t>
        </is>
      </c>
    </row>
    <row r="29">
      <c r="A29" s="41" t="inlineStr">
        <is>
          <t>2. Edit the yellow molar-mass cells to change them; fractions are per-particle basis.</t>
        </is>
      </c>
    </row>
    <row r="30">
      <c r="A30" s="41" t="inlineStr">
        <is>
          <t>3. MARTINI water: if 'water' counts 4-to-1 MARTINI beads, set water molar mass to 72.06.</t>
        </is>
      </c>
    </row>
    <row r="31">
      <c r="A31" s="41" t="inlineStr">
        <is>
          <t>4. Flagged systems (6, 7, 14, 22) still show their data but are labelled in the Status column.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6" customWidth="1" min="4" max="4"/>
    <col width="10" customWidth="1" min="5" max="5"/>
    <col width="11" customWidth="1" min="6" max="6"/>
    <col width="26" customWidth="1" min="7" max="7"/>
  </cols>
  <sheetData>
    <row r="1">
      <c r="A1" s="49" t="inlineStr">
        <is>
          <t>Recomputed molar densities (mol/L) — authoritative; overrides 'Number Density' for the systems listed here</t>
        </is>
      </c>
    </row>
    <row r="2">
      <c r="H2" t="inlineStr">
        <is>
          <t>DES-rich phase (mol/L)</t>
        </is>
      </c>
      <c r="M2" t="inlineStr">
        <is>
          <t>Water-rich phase (mol/L)</t>
        </is>
      </c>
    </row>
    <row r="3">
      <c r="A3" s="49" t="inlineStr">
        <is>
          <t>#</t>
        </is>
      </c>
      <c r="B3" s="49" t="inlineStr">
        <is>
          <t>System</t>
        </is>
      </c>
      <c r="C3" s="49" t="inlineStr">
        <is>
          <t>TAG</t>
        </is>
      </c>
      <c r="D3" s="49" t="inlineStr">
        <is>
          <t>PHE</t>
        </is>
      </c>
      <c r="E3" s="49" t="inlineStr">
        <is>
          <t>HBA</t>
        </is>
      </c>
      <c r="F3" s="49" t="inlineStr">
        <is>
          <t>HBD</t>
        </is>
      </c>
      <c r="G3" s="49" t="inlineStr">
        <is>
          <t>Status</t>
        </is>
      </c>
      <c r="H3" s="49" t="inlineStr">
        <is>
          <t>c(HBA)</t>
        </is>
      </c>
      <c r="I3" s="49" t="inlineStr">
        <is>
          <t>c(HBD)</t>
        </is>
      </c>
      <c r="J3" s="49" t="inlineStr">
        <is>
          <t>c(water)</t>
        </is>
      </c>
      <c r="K3" s="49" t="inlineStr">
        <is>
          <t>c(2PE)</t>
        </is>
      </c>
      <c r="L3" s="49" t="inlineStr"/>
      <c r="M3" s="49" t="inlineStr">
        <is>
          <t>c(HBA)</t>
        </is>
      </c>
      <c r="N3" s="49" t="inlineStr">
        <is>
          <t>c(HBD)</t>
        </is>
      </c>
      <c r="O3" s="49" t="inlineStr">
        <is>
          <t>c(water)</t>
        </is>
      </c>
      <c r="P3" s="49" t="inlineStr">
        <is>
          <t>c(2PE)</t>
        </is>
      </c>
      <c r="Q3" s="49" t="inlineStr"/>
      <c r="R3" s="49" t="inlineStr"/>
      <c r="S3" s="49" t="inlineStr">
        <is>
          <t>source</t>
        </is>
      </c>
    </row>
    <row r="4">
      <c r="A4" t="n">
        <v>4</v>
      </c>
      <c r="B4" t="inlineStr">
        <is>
          <t>thymol:camphor [30C] - PHE 20</t>
        </is>
      </c>
      <c r="C4" t="inlineStr">
        <is>
          <t>THY:CAM-30C - PHE 20</t>
        </is>
      </c>
      <c r="D4" t="n">
        <v>20</v>
      </c>
      <c r="E4" t="inlineStr">
        <is>
          <t>thymol</t>
        </is>
      </c>
      <c r="F4" t="inlineStr">
        <is>
          <t>camphor</t>
        </is>
      </c>
      <c r="G4" t="inlineStr">
        <is>
          <t>OK</t>
        </is>
      </c>
      <c r="H4" t="n">
        <v>3.090583997873471</v>
      </c>
      <c r="I4" t="n">
        <v>5.016820337881742</v>
      </c>
      <c r="J4" t="n">
        <v>0.8379815789473684</v>
      </c>
      <c r="K4" t="n">
        <v>0.1083916829109812</v>
      </c>
      <c r="M4" t="n">
        <v>0</v>
      </c>
      <c r="N4" t="n">
        <v>0</v>
      </c>
      <c r="O4" t="n">
        <v>59.73699834162521</v>
      </c>
      <c r="P4" t="n">
        <v>0.06880156615072784</v>
      </c>
      <c r="S4" t="inlineStr">
        <is>
          <t>System 3</t>
        </is>
      </c>
    </row>
    <row r="5">
      <c r="A5" t="n">
        <v>12</v>
      </c>
      <c r="B5" t="inlineStr">
        <is>
          <t>thymol:camphor [30C] - PHE 40</t>
        </is>
      </c>
      <c r="C5" t="inlineStr">
        <is>
          <t>THY:CAM-30C - PHE 40</t>
        </is>
      </c>
      <c r="D5" t="n">
        <v>40</v>
      </c>
      <c r="E5" t="inlineStr">
        <is>
          <t>thymol</t>
        </is>
      </c>
      <c r="F5" t="inlineStr">
        <is>
          <t>camphor</t>
        </is>
      </c>
      <c r="G5" t="inlineStr">
        <is>
          <t>OK</t>
        </is>
      </c>
      <c r="H5" t="n">
        <v>3.705794612794613</v>
      </c>
      <c r="I5" t="n">
        <v>3.553811385459534</v>
      </c>
      <c r="J5" t="n">
        <v>0.8206592592592592</v>
      </c>
      <c r="K5" t="n">
        <v>0.3955367626886146</v>
      </c>
      <c r="M5" t="n">
        <v>0.004215717522446689</v>
      </c>
      <c r="N5" t="n">
        <v>0.01875924639917696</v>
      </c>
      <c r="O5" t="n">
        <v>54.65361574074073</v>
      </c>
      <c r="P5" t="n">
        <v>0.008755589849108368</v>
      </c>
      <c r="S5" t="inlineStr">
        <is>
          <t>System 12</t>
        </is>
      </c>
    </row>
    <row r="6">
      <c r="A6" t="n">
        <v>20</v>
      </c>
      <c r="B6" t="inlineStr">
        <is>
          <t>thymol:camphor [30C] - PHE 80</t>
        </is>
      </c>
      <c r="C6" t="inlineStr">
        <is>
          <t>THY:CAM-30C - PHE 80</t>
        </is>
      </c>
      <c r="D6" t="n">
        <v>80</v>
      </c>
      <c r="E6" t="inlineStr">
        <is>
          <t>thymol</t>
        </is>
      </c>
      <c r="F6" t="inlineStr">
        <is>
          <t>camphor</t>
        </is>
      </c>
      <c r="G6" t="inlineStr">
        <is>
          <t>OK</t>
        </is>
      </c>
      <c r="H6" t="n">
        <v>3.527421865715983</v>
      </c>
      <c r="I6" t="n">
        <v>3.392187726942629</v>
      </c>
      <c r="J6" t="n">
        <v>0.9062640522875816</v>
      </c>
      <c r="K6" t="n">
        <v>0.7803903413217139</v>
      </c>
      <c r="M6" t="n">
        <v>0.002534248737373737</v>
      </c>
      <c r="N6" t="n">
        <v>0.02178062157064472</v>
      </c>
      <c r="O6" t="n">
        <v>54.61939274691358</v>
      </c>
      <c r="P6" t="n">
        <v>0.01734431841563786</v>
      </c>
      <c r="S6" t="inlineStr">
        <is>
          <t>System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2026-08-04T19:04:11Z</dcterms:created>
  <dcterms:modified xsi:type="dcterms:W3CDTF">2026-08-05T18:32:32Z</dcterms:modified>
  <cp:lastModifiedBy>Esteban Cea Klapp</cp:lastModifiedBy>
  <cp:revision>0</cp:revision>
</cp:coreProperties>
</file>