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predicciones_pcsaft" sheetId="1" state="visible" r:id="rId1"/>
    <sheet name="Dashboard" sheetId="2" state="visible" r:id="rId2"/>
    <sheet name="Componentes" sheetId="3" state="visible" r:id="rId3"/>
    <sheet name="datos_des" sheetId="4" state="visible" r:id="rId4"/>
    <sheet name="2-phenylethanol_DES" sheetId="5" state="visible" r:id="rId5"/>
    <sheet name="Lab_Solventes" sheetId="6" state="visible" r:id="rId6"/>
    <sheet name="Lab_DES" sheetId="7" state="visible" r:id="rId7"/>
  </sheets>
  <definedNames>
    <definedName name="LookupTable" hidden="0" function="0" vbProcedure="0">Componentes!$AA$3:$AC$11</definedName>
    <definedName name="MW_2m2boh" hidden="0" function="0" vbProcedure="0">Componentes!$AB$7</definedName>
    <definedName name="MW_2m3b2oh" hidden="0" function="0" vbProcedure="0">Componentes!$AB$6</definedName>
    <definedName name="MW_2octanone" hidden="0" function="0" vbProcedure="0">Componentes!$AB$11</definedName>
    <definedName name="MW_2pe" hidden="0" function="0" vbProcedure="0">Componentes!$AB$4</definedName>
    <definedName name="MW_beta" hidden="0" function="0" vbProcedure="0">Componentes!$AB$3</definedName>
    <definedName name="MW_gamma" hidden="0" function="0" vbProcedure="0">Componentes!$AB$5</definedName>
    <definedName name="MW_hexoh" hidden="0" function="0" vbProcedure="0">Componentes!$AB$8</definedName>
    <definedName name="MW_mibk" hidden="0" function="0" vbProcedure="0">Componentes!$AB$10</definedName>
    <definedName name="MW_octoh" hidden="0" function="0" vbProcedure="0">Componentes!$AB$9</definedName>
    <definedName name="purity_2m2boh" hidden="0" function="0" vbProcedure="0">Componentes!$AC$7</definedName>
    <definedName name="purity_2m3b2oh" hidden="0" function="0" vbProcedure="0">Componentes!$AC$6</definedName>
    <definedName name="purity_2octanone" hidden="0" function="0" vbProcedure="0">Componentes!$AC$11</definedName>
    <definedName name="purity_2pe" hidden="0" function="0" vbProcedure="0">Componentes!$AC$4</definedName>
    <definedName name="purity_beta" hidden="0" function="0" vbProcedure="0">Componentes!$AC$3</definedName>
    <definedName name="purity_gamma" hidden="0" function="0" vbProcedure="0">Componentes!$AC$5</definedName>
    <definedName name="purity_hexoh" hidden="0" function="0" vbProcedure="0">Componentes!$AC$8</definedName>
    <definedName name="purity_mibk" hidden="0" function="0" vbProcedure="0">Componentes!$AC$10</definedName>
    <definedName name="purity_octoh" hidden="0" function="0" vbProcedure="0">Componentes!$AC$9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"/>
    <numFmt numFmtId="166" formatCode="0.000"/>
    <numFmt numFmtId="167" formatCode="hh\:mm"/>
    <numFmt numFmtId="168" formatCode="0.00000"/>
  </numFmts>
  <fonts count="35">
    <font>
      <name val="Aptos Narrow2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2"/>
      <charset val="1"/>
      <family val="0"/>
      <b val="1"/>
      <color rgb="FFFFFFFF"/>
      <sz val="11"/>
    </font>
    <font>
      <name val="Aptos Narrow2"/>
      <charset val="1"/>
      <family val="0"/>
      <b val="1"/>
      <color rgb="FF000000"/>
      <sz val="11"/>
    </font>
    <font>
      <name val="Arial"/>
      <charset val="1"/>
      <family val="0"/>
      <color rgb="FF000000"/>
      <sz val="10"/>
    </font>
    <font>
      <name val="Aptos Narrow2"/>
      <charset val="1"/>
      <family val="0"/>
      <i val="1"/>
      <color rgb="FF808080"/>
      <sz val="11"/>
    </font>
    <font>
      <name val="Aptos Narrow2"/>
      <charset val="1"/>
      <family val="0"/>
      <b val="1"/>
      <color rgb="FF000000"/>
      <sz val="24"/>
    </font>
    <font>
      <name val="Aptos Narrow2"/>
      <charset val="1"/>
      <family val="0"/>
      <color rgb="FF0000EE"/>
      <sz val="11"/>
      <u val="single"/>
    </font>
    <font>
      <name val="Aptos Narrow2"/>
      <charset val="1"/>
      <family val="0"/>
      <b val="1"/>
      <i val="1"/>
      <color rgb="FF000000"/>
      <sz val="11"/>
      <u val="single"/>
    </font>
    <font>
      <name val="Calibri"/>
      <charset val="1"/>
      <family val="0"/>
      <color rgb="FF000000"/>
      <sz val="11"/>
    </font>
    <font>
      <name val="Aptos Narrow2"/>
      <charset val="1"/>
      <family val="0"/>
      <color rgb="FFCC0000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i val="1"/>
      <color rgb="FF666666"/>
      <sz val="9"/>
    </font>
    <font>
      <name val="Arial"/>
      <charset val="1"/>
      <family val="0"/>
      <i val="1"/>
      <sz val="10"/>
    </font>
    <font>
      <name val="Arial"/>
      <charset val="1"/>
      <family val="0"/>
      <sz val="10"/>
    </font>
    <font>
      <name val="Cambria"/>
      <charset val="1"/>
      <family val="0"/>
      <b val="1"/>
      <sz val="16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000000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000000"/>
      <sz val="7"/>
    </font>
    <font>
      <name val="Aptos Narrow1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1"/>
      <charset val="1"/>
      <family val="0"/>
      <color rgb="FF000000"/>
      <sz val="11"/>
    </font>
    <font>
      <name val="Cambria"/>
      <charset val="1"/>
      <family val="0"/>
      <color rgb="FF000000"/>
      <sz val="11"/>
    </font>
    <font>
      <name val="Aptos Narrow"/>
      <charset val="1"/>
      <family val="0"/>
      <color rgb="FF000000"/>
      <sz val="11"/>
    </font>
    <font>
      <name val="Cambria"/>
      <charset val="1"/>
      <family val="0"/>
      <sz val="11"/>
    </font>
    <font>
      <name val="Cambria"/>
      <charset val="1"/>
      <family val="0"/>
      <i val="1"/>
      <color rgb="FF666666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sz val="13"/>
    </font>
  </fonts>
  <fills count="25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66"/>
      </patternFill>
    </fill>
    <fill>
      <patternFill patternType="solid">
        <fgColor rgb="FFDDDDDD"/>
        <bgColor rgb="FFD9D9D9"/>
      </patternFill>
    </fill>
    <fill>
      <patternFill patternType="solid">
        <fgColor rgb="FFCC0000"/>
        <bgColor rgb="FF800000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  <fill>
      <patternFill patternType="solid">
        <fgColor rgb="FFFFF2CC"/>
        <bgColor rgb="FFFFFFCC"/>
      </patternFill>
    </fill>
    <fill>
      <patternFill patternType="solid">
        <fgColor rgb="FFE2EFDA"/>
        <bgColor rgb="FFD9F2D0"/>
      </patternFill>
    </fill>
    <fill>
      <patternFill patternType="solid">
        <fgColor rgb="FFFFEB9C"/>
        <bgColor rgb="FFFFF2CC"/>
      </patternFill>
    </fill>
    <fill>
      <patternFill patternType="solid">
        <fgColor rgb="FFFFD966"/>
        <bgColor rgb="FFFFEB9C"/>
      </patternFill>
    </fill>
    <fill>
      <patternFill patternType="solid">
        <fgColor rgb="FFC5E0B4"/>
        <bgColor rgb="FFD1D1D1"/>
      </patternFill>
    </fill>
    <fill>
      <patternFill patternType="solid">
        <fgColor rgb="FFB4C7E7"/>
        <bgColor rgb="FFBDD7EE"/>
      </patternFill>
    </fill>
    <fill>
      <patternFill patternType="solid">
        <fgColor rgb="FFF4B084"/>
        <bgColor rgb="FFFFD966"/>
      </patternFill>
    </fill>
    <fill>
      <patternFill patternType="solid">
        <fgColor rgb="FFD9D9D9"/>
        <bgColor rgb="FFDDDDDD"/>
      </patternFill>
    </fill>
    <fill>
      <patternFill patternType="solid">
        <fgColor rgb="FF2F5496"/>
        <bgColor rgb="FF0066CC"/>
      </patternFill>
    </fill>
    <fill>
      <patternFill patternType="solid">
        <fgColor rgb="FFF2CFEE"/>
        <bgColor rgb="FFDDDDDD"/>
      </patternFill>
    </fill>
    <fill>
      <patternFill patternType="solid">
        <fgColor rgb="FFC1E5F5"/>
        <bgColor rgb="FFBDD7EE"/>
      </patternFill>
    </fill>
    <fill>
      <patternFill patternType="solid">
        <fgColor theme="8" tint="0.5998"/>
        <bgColor rgb="FFC1E5F5"/>
      </patternFill>
    </fill>
    <fill>
      <patternFill patternType="solid">
        <fgColor rgb="FFD9F2D0"/>
        <bgColor rgb="FFE2EFDA"/>
      </patternFill>
    </fill>
    <fill>
      <patternFill patternType="solid">
        <fgColor rgb="FFD1D1D1"/>
        <bgColor rgb="FFD9D9D9"/>
      </patternFill>
    </fill>
    <fill>
      <patternFill patternType="solid">
        <fgColor rgb="FFDDEBF7"/>
        <bgColor rgb="FFDCE6F1"/>
      </patternFill>
    </fill>
    <fill>
      <patternFill patternType="solid">
        <fgColor rgb="FFFFFFCC"/>
        <bgColor rgb="FFFFF2CC"/>
      </patternFill>
    </fill>
    <fill>
      <patternFill patternType="solid">
        <fgColor rgb="FFFCE4D6"/>
        <bgColor rgb="FFFFF2CC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/>
      <diagonal/>
    </border>
  </borders>
  <cellStyleXfs count="1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bottom"/>
    </xf>
    <xf numFmtId="0" fontId="4" fillId="3" borderId="0" applyAlignment="1">
      <alignment horizontal="general" vertical="bottom"/>
    </xf>
    <xf numFmtId="0" fontId="5" fillId="4" borderId="0" applyAlignment="1">
      <alignment horizontal="general" vertical="bottom"/>
    </xf>
    <xf numFmtId="0" fontId="5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5" borderId="0" applyAlignment="1">
      <alignment horizontal="general" vertical="bottom"/>
    </xf>
    <xf numFmtId="0" fontId="7" fillId="0" borderId="0" applyAlignment="1">
      <alignment horizontal="general" vertical="bottom"/>
    </xf>
    <xf numFmtId="0" fontId="8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11" fillId="0" borderId="0" applyAlignment="1">
      <alignment horizontal="general" vertical="bottom"/>
    </xf>
    <xf numFmtId="0" fontId="11" fillId="0" borderId="0" applyAlignment="1">
      <alignment horizontal="general" vertical="bottom"/>
    </xf>
    <xf numFmtId="0" fontId="12" fillId="0" borderId="0" applyAlignment="1">
      <alignment horizontal="general" vertical="bottom"/>
    </xf>
  </cellStyleXfs>
  <cellXfs count="2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3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65" fontId="17" fillId="8" borderId="1" applyAlignment="1" pivotButton="0" quotePrefix="0" xfId="0">
      <alignment horizontal="center" vertical="center"/>
    </xf>
    <xf numFmtId="165" fontId="17" fillId="9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11" borderId="2" applyAlignment="1" pivotButton="0" quotePrefix="0" xfId="0">
      <alignment horizontal="general" vertical="bottom"/>
    </xf>
    <xf numFmtId="0" fontId="21" fillId="11" borderId="3" applyAlignment="1" pivotButton="0" quotePrefix="0" xfId="0">
      <alignment horizontal="general" vertical="bottom" wrapText="1"/>
    </xf>
    <xf numFmtId="0" fontId="21" fillId="11" borderId="4" applyAlignment="1" pivotButton="0" quotePrefix="0" xfId="0">
      <alignment horizontal="general" vertical="bottom" wrapText="1"/>
    </xf>
    <xf numFmtId="0" fontId="21" fillId="12" borderId="2" applyAlignment="1" pivotButton="0" quotePrefix="0" xfId="0">
      <alignment horizontal="general" vertical="bottom"/>
    </xf>
    <xf numFmtId="0" fontId="21" fillId="12" borderId="3" applyAlignment="1" pivotButton="0" quotePrefix="0" xfId="0">
      <alignment horizontal="general" vertical="bottom"/>
    </xf>
    <xf numFmtId="0" fontId="21" fillId="12" borderId="4" applyAlignment="1" pivotButton="0" quotePrefix="0" xfId="0">
      <alignment horizontal="general" vertical="bottom"/>
    </xf>
    <xf numFmtId="0" fontId="21" fillId="13" borderId="2" applyAlignment="1" pivotButton="0" quotePrefix="0" xfId="0">
      <alignment horizontal="general" vertical="bottom"/>
    </xf>
    <xf numFmtId="0" fontId="21" fillId="13" borderId="3" applyAlignment="1" pivotButton="0" quotePrefix="0" xfId="0">
      <alignment horizontal="general" vertical="bottom"/>
    </xf>
    <xf numFmtId="0" fontId="21" fillId="13" borderId="4" applyAlignment="1" pivotButton="0" quotePrefix="0" xfId="0">
      <alignment horizontal="general" vertical="bottom"/>
    </xf>
    <xf numFmtId="0" fontId="21" fillId="14" borderId="2" applyAlignment="1" pivotButton="0" quotePrefix="0" xfId="0">
      <alignment horizontal="general" vertical="bottom"/>
    </xf>
    <xf numFmtId="0" fontId="21" fillId="14" borderId="3" applyAlignment="1" pivotButton="0" quotePrefix="0" xfId="0">
      <alignment horizontal="general" vertical="bottom"/>
    </xf>
    <xf numFmtId="0" fontId="21" fillId="14" borderId="4" applyAlignment="1" pivotButton="0" quotePrefix="0" xfId="0">
      <alignment horizontal="general" vertical="bottom"/>
    </xf>
    <xf numFmtId="0" fontId="21" fillId="15" borderId="2" applyAlignment="1" pivotButton="0" quotePrefix="0" xfId="0">
      <alignment horizontal="general" vertical="bottom"/>
    </xf>
    <xf numFmtId="0" fontId="21" fillId="15" borderId="3" applyAlignment="1" pivotButton="0" quotePrefix="0" xfId="0">
      <alignment horizontal="general" vertical="bottom"/>
    </xf>
    <xf numFmtId="0" fontId="21" fillId="15" borderId="4" applyAlignment="1" pivotButton="0" quotePrefix="0" xfId="0">
      <alignment horizontal="general" vertical="bottom"/>
    </xf>
    <xf numFmtId="0" fontId="22" fillId="16" borderId="5" applyAlignment="1" pivotButton="0" quotePrefix="0" xfId="0">
      <alignment horizontal="general" vertical="bottom"/>
    </xf>
    <xf numFmtId="0" fontId="20" fillId="4" borderId="0" applyAlignment="1" pivotButton="0" quotePrefix="0" xfId="0">
      <alignment horizontal="general" vertical="bottom"/>
    </xf>
    <xf numFmtId="0" fontId="23" fillId="7" borderId="6" applyAlignment="1" pivotButton="0" quotePrefix="0" xfId="0">
      <alignment horizontal="general" vertical="bottom"/>
    </xf>
    <xf numFmtId="0" fontId="24" fillId="17" borderId="5" applyAlignment="1" pivotButton="0" quotePrefix="0" xfId="0">
      <alignment horizontal="general" vertical="bottom"/>
    </xf>
    <xf numFmtId="0" fontId="24" fillId="17" borderId="2" applyAlignment="1" pivotButton="0" quotePrefix="0" xfId="0">
      <alignment horizontal="general" vertical="bottom"/>
    </xf>
    <xf numFmtId="0" fontId="24" fillId="17" borderId="0" applyAlignment="1" pivotButton="0" quotePrefix="0" xfId="0">
      <alignment horizontal="general" vertical="bottom"/>
    </xf>
    <xf numFmtId="0" fontId="24" fillId="17" borderId="5" applyAlignment="1" pivotButton="0" quotePrefix="0" xfId="0">
      <alignment horizontal="right" vertical="bottom"/>
    </xf>
    <xf numFmtId="0" fontId="25" fillId="0" borderId="5" applyAlignment="1" pivotButton="0" quotePrefix="0" xfId="0">
      <alignment horizontal="general" vertical="bottom"/>
    </xf>
    <xf numFmtId="0" fontId="24" fillId="17" borderId="4" applyAlignment="1" pivotButton="0" quotePrefix="0" xfId="0">
      <alignment horizontal="general" vertical="bottom"/>
    </xf>
    <xf numFmtId="0" fontId="24" fillId="17" borderId="7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24" fillId="18" borderId="7" applyAlignment="1" pivotButton="0" quotePrefix="0" xfId="0">
      <alignment horizontal="general" vertical="bottom"/>
    </xf>
    <xf numFmtId="0" fontId="24" fillId="18" borderId="7" applyAlignment="1" pivotButton="0" quotePrefix="0" xfId="0">
      <alignment horizontal="right" vertical="bottom"/>
    </xf>
    <xf numFmtId="10" fontId="24" fillId="18" borderId="7" applyAlignment="1" pivotButton="0" quotePrefix="0" xfId="0">
      <alignment horizontal="general" vertical="bottom"/>
    </xf>
    <xf numFmtId="0" fontId="24" fillId="18" borderId="8" applyAlignment="1" pivotButton="0" quotePrefix="0" xfId="0">
      <alignment horizontal="general" vertical="bottom"/>
    </xf>
    <xf numFmtId="0" fontId="25" fillId="19" borderId="5" applyAlignment="1" pivotButton="0" quotePrefix="0" xfId="0">
      <alignment horizontal="general" vertical="bottom"/>
    </xf>
    <xf numFmtId="0" fontId="24" fillId="18" borderId="9" applyAlignment="1" pivotButton="0" quotePrefix="0" xfId="0">
      <alignment horizontal="general" vertical="bottom"/>
    </xf>
    <xf numFmtId="0" fontId="24" fillId="18" borderId="5" applyAlignment="1" pivotButton="0" quotePrefix="0" xfId="0">
      <alignment horizontal="general" vertical="bottom"/>
    </xf>
    <xf numFmtId="0" fontId="24" fillId="18" borderId="0" applyAlignment="1" pivotButton="0" quotePrefix="0" xfId="0">
      <alignment horizontal="general" vertical="bottom"/>
    </xf>
    <xf numFmtId="0" fontId="24" fillId="18" borderId="5" applyAlignment="1" pivotButton="0" quotePrefix="0" xfId="0">
      <alignment horizontal="right" vertical="bottom"/>
    </xf>
    <xf numFmtId="9" fontId="24" fillId="18" borderId="5" applyAlignment="1" pivotButton="0" quotePrefix="0" xfId="0">
      <alignment horizontal="left" vertical="bottom"/>
    </xf>
    <xf numFmtId="0" fontId="24" fillId="18" borderId="2" applyAlignment="1" pivotButton="0" quotePrefix="0" xfId="0">
      <alignment horizontal="general" vertical="bottom"/>
    </xf>
    <xf numFmtId="0" fontId="24" fillId="18" borderId="4" applyAlignment="1" pivotButton="0" quotePrefix="0" xfId="0">
      <alignment horizontal="general" vertical="bottom"/>
    </xf>
    <xf numFmtId="0" fontId="26" fillId="19" borderId="5" applyAlignment="1" pivotButton="0" quotePrefix="0" xfId="0">
      <alignment horizontal="general" vertical="bottom"/>
    </xf>
    <xf numFmtId="0" fontId="27" fillId="18" borderId="5" applyAlignment="1" pivotButton="0" quotePrefix="0" xfId="0">
      <alignment horizontal="general" vertical="bottom"/>
    </xf>
    <xf numFmtId="0" fontId="24" fillId="20" borderId="5" applyAlignment="1" pivotButton="0" quotePrefix="0" xfId="0">
      <alignment horizontal="general" vertical="bottom"/>
    </xf>
    <xf numFmtId="0" fontId="24" fillId="20" borderId="5" applyAlignment="1" pivotButton="0" quotePrefix="0" xfId="0">
      <alignment horizontal="right" vertical="bottom"/>
    </xf>
    <xf numFmtId="166" fontId="24" fillId="20" borderId="7" applyAlignment="1" pivotButton="0" quotePrefix="0" xfId="0">
      <alignment horizontal="general" vertical="bottom"/>
    </xf>
    <xf numFmtId="0" fontId="24" fillId="20" borderId="0" applyAlignment="1" pivotButton="0" quotePrefix="0" xfId="0">
      <alignment horizontal="general" vertical="bottom"/>
    </xf>
    <xf numFmtId="0" fontId="24" fillId="20" borderId="6" applyAlignment="1" pivotButton="0" quotePrefix="0" xfId="0">
      <alignment horizontal="general" vertical="bottom"/>
    </xf>
    <xf numFmtId="0" fontId="24" fillId="20" borderId="6" applyAlignment="1" pivotButton="0" quotePrefix="0" xfId="0">
      <alignment horizontal="right" vertical="bottom"/>
    </xf>
    <xf numFmtId="166" fontId="24" fillId="20" borderId="5" applyAlignment="1" pivotButton="0" quotePrefix="0" xfId="0">
      <alignment horizontal="general" vertical="bottom"/>
    </xf>
    <xf numFmtId="0" fontId="24" fillId="20" borderId="2" applyAlignment="1" pivotButton="0" quotePrefix="0" xfId="0">
      <alignment horizontal="general" vertical="bottom"/>
    </xf>
    <xf numFmtId="0" fontId="24" fillId="20" borderId="4" applyAlignment="1" pivotButton="0" quotePrefix="0" xfId="0">
      <alignment horizontal="general" vertical="bottom"/>
    </xf>
    <xf numFmtId="0" fontId="24" fillId="21" borderId="5" applyAlignment="1" pivotButton="0" quotePrefix="0" xfId="0">
      <alignment horizontal="general" vertical="bottom"/>
    </xf>
    <xf numFmtId="0" fontId="24" fillId="21" borderId="7" applyAlignment="1" pivotButton="0" quotePrefix="0" xfId="0">
      <alignment horizontal="general" vertical="bottom"/>
    </xf>
    <xf numFmtId="0" fontId="24" fillId="21" borderId="7" applyAlignment="1" pivotButton="0" quotePrefix="0" xfId="0">
      <alignment horizontal="right" vertical="bottom"/>
    </xf>
    <xf numFmtId="0" fontId="24" fillId="21" borderId="5" applyAlignment="1" pivotButton="0" quotePrefix="0" xfId="0">
      <alignment horizontal="right" vertical="bottom"/>
    </xf>
    <xf numFmtId="0" fontId="0" fillId="17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20" borderId="0" applyAlignment="1" pivotButton="0" quotePrefix="0" xfId="0">
      <alignment horizontal="general" vertical="bottom"/>
    </xf>
    <xf numFmtId="0" fontId="0" fillId="21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7" fontId="0" fillId="0" borderId="5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28" fillId="0" borderId="5" applyAlignment="1" pivotButton="0" quotePrefix="0" xfId="0">
      <alignment horizontal="general" vertical="bottom"/>
    </xf>
    <xf numFmtId="0" fontId="0" fillId="2" borderId="5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0" fillId="22" borderId="5" applyAlignment="1" pivotButton="0" quotePrefix="0" xfId="0">
      <alignment horizontal="center" vertical="bottom" wrapText="1"/>
    </xf>
    <xf numFmtId="0" fontId="29" fillId="0" borderId="5" applyAlignment="1" pivotButton="0" quotePrefix="0" xfId="0">
      <alignment horizontal="general" vertical="bottom"/>
    </xf>
    <xf numFmtId="2" fontId="29" fillId="9" borderId="5" applyAlignment="1" pivotButton="0" quotePrefix="0" xfId="0">
      <alignment horizontal="general" vertical="bottom"/>
    </xf>
    <xf numFmtId="166" fontId="29" fillId="9" borderId="5" applyAlignment="1" pivotButton="0" quotePrefix="0" xfId="0">
      <alignment horizontal="general" vertical="bottom"/>
    </xf>
    <xf numFmtId="165" fontId="29" fillId="9" borderId="5" applyAlignment="1" pivotButton="0" quotePrefix="0" xfId="0">
      <alignment horizontal="general" vertical="bottom"/>
    </xf>
    <xf numFmtId="165" fontId="29" fillId="23" borderId="5" applyAlignment="1" pivotButton="0" quotePrefix="0" xfId="0">
      <alignment horizontal="general" vertical="bottom"/>
    </xf>
    <xf numFmtId="165" fontId="29" fillId="9" borderId="5" applyAlignment="1" pivotButton="0" quotePrefix="0" xfId="0">
      <alignment horizontal="center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168" fontId="17" fillId="9" borderId="1" applyAlignment="1" pivotButton="0" quotePrefix="0" xfId="0">
      <alignment horizontal="center" vertical="center"/>
    </xf>
    <xf numFmtId="166" fontId="17" fillId="6" borderId="1" applyAlignment="1" pivotButton="0" quotePrefix="0" xfId="0">
      <alignment horizontal="center" vertical="center"/>
    </xf>
    <xf numFmtId="0" fontId="17" fillId="22" borderId="1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24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3" fillId="7" borderId="10" applyAlignment="1" pivotButton="0" quotePrefix="0" xfId="0">
      <alignment horizontal="center" vertical="center" wrapText="1"/>
    </xf>
    <xf numFmtId="166" fontId="17" fillId="22" borderId="1" applyAlignment="1" pivotButton="0" quotePrefix="0" xfId="0">
      <alignment horizontal="center" vertical="center"/>
    </xf>
    <xf numFmtId="165" fontId="17" fillId="24" borderId="1" applyAlignment="1" pivotButton="0" quotePrefix="0" xfId="0">
      <alignment horizontal="center" vertical="center"/>
    </xf>
    <xf numFmtId="0" fontId="17" fillId="24" borderId="1" applyAlignment="1" pivotButton="0" quotePrefix="0" xfId="0">
      <alignment horizontal="left" vertical="center"/>
    </xf>
    <xf numFmtId="2" fontId="17" fillId="22" borderId="1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3" fillId="0" borderId="0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3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65" fontId="17" fillId="8" borderId="1" applyAlignment="1" pivotButton="0" quotePrefix="0" xfId="0">
      <alignment horizontal="center" vertical="center"/>
    </xf>
    <xf numFmtId="165" fontId="17" fillId="9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11" borderId="2" applyAlignment="1" pivotButton="0" quotePrefix="0" xfId="0">
      <alignment horizontal="general" vertical="bottom"/>
    </xf>
    <xf numFmtId="0" fontId="21" fillId="11" borderId="3" applyAlignment="1" pivotButton="0" quotePrefix="0" xfId="0">
      <alignment horizontal="general" vertical="bottom" wrapText="1"/>
    </xf>
    <xf numFmtId="0" fontId="21" fillId="11" borderId="4" applyAlignment="1" pivotButton="0" quotePrefix="0" xfId="0">
      <alignment horizontal="general" vertical="bottom" wrapText="1"/>
    </xf>
    <xf numFmtId="0" fontId="21" fillId="12" borderId="2" applyAlignment="1" pivotButton="0" quotePrefix="0" xfId="0">
      <alignment horizontal="general" vertical="bottom"/>
    </xf>
    <xf numFmtId="0" fontId="21" fillId="12" borderId="3" applyAlignment="1" pivotButton="0" quotePrefix="0" xfId="0">
      <alignment horizontal="general" vertical="bottom"/>
    </xf>
    <xf numFmtId="0" fontId="21" fillId="12" borderId="4" applyAlignment="1" pivotButton="0" quotePrefix="0" xfId="0">
      <alignment horizontal="general" vertical="bottom"/>
    </xf>
    <xf numFmtId="0" fontId="21" fillId="13" borderId="2" applyAlignment="1" pivotButton="0" quotePrefix="0" xfId="0">
      <alignment horizontal="general" vertical="bottom"/>
    </xf>
    <xf numFmtId="0" fontId="21" fillId="13" borderId="3" applyAlignment="1" pivotButton="0" quotePrefix="0" xfId="0">
      <alignment horizontal="general" vertical="bottom"/>
    </xf>
    <xf numFmtId="0" fontId="21" fillId="13" borderId="4" applyAlignment="1" pivotButton="0" quotePrefix="0" xfId="0">
      <alignment horizontal="general" vertical="bottom"/>
    </xf>
    <xf numFmtId="0" fontId="21" fillId="14" borderId="2" applyAlignment="1" pivotButton="0" quotePrefix="0" xfId="0">
      <alignment horizontal="general" vertical="bottom"/>
    </xf>
    <xf numFmtId="0" fontId="21" fillId="14" borderId="3" applyAlignment="1" pivotButton="0" quotePrefix="0" xfId="0">
      <alignment horizontal="general" vertical="bottom"/>
    </xf>
    <xf numFmtId="0" fontId="21" fillId="14" borderId="4" applyAlignment="1" pivotButton="0" quotePrefix="0" xfId="0">
      <alignment horizontal="general" vertical="bottom"/>
    </xf>
    <xf numFmtId="0" fontId="21" fillId="15" borderId="2" applyAlignment="1" pivotButton="0" quotePrefix="0" xfId="0">
      <alignment horizontal="general" vertical="bottom"/>
    </xf>
    <xf numFmtId="0" fontId="21" fillId="15" borderId="3" applyAlignment="1" pivotButton="0" quotePrefix="0" xfId="0">
      <alignment horizontal="general" vertical="bottom"/>
    </xf>
    <xf numFmtId="0" fontId="21" fillId="15" borderId="4" applyAlignment="1" pivotButton="0" quotePrefix="0" xfId="0">
      <alignment horizontal="general" vertical="bottom"/>
    </xf>
    <xf numFmtId="0" fontId="22" fillId="16" borderId="5" applyAlignment="1" pivotButton="0" quotePrefix="0" xfId="0">
      <alignment horizontal="general" vertical="bottom"/>
    </xf>
    <xf numFmtId="0" fontId="20" fillId="4" borderId="0" applyAlignment="1" pivotButton="0" quotePrefix="0" xfId="0">
      <alignment horizontal="general" vertical="bottom"/>
    </xf>
    <xf numFmtId="0" fontId="23" fillId="7" borderId="6" applyAlignment="1" pivotButton="0" quotePrefix="0" xfId="0">
      <alignment horizontal="general" vertical="bottom"/>
    </xf>
    <xf numFmtId="0" fontId="24" fillId="17" borderId="5" applyAlignment="1" pivotButton="0" quotePrefix="0" xfId="0">
      <alignment horizontal="general" vertical="bottom"/>
    </xf>
    <xf numFmtId="0" fontId="24" fillId="17" borderId="2" applyAlignment="1" pivotButton="0" quotePrefix="0" xfId="0">
      <alignment horizontal="general" vertical="bottom"/>
    </xf>
    <xf numFmtId="0" fontId="24" fillId="17" borderId="0" applyAlignment="1" pivotButton="0" quotePrefix="0" xfId="0">
      <alignment horizontal="general" vertical="bottom"/>
    </xf>
    <xf numFmtId="0" fontId="24" fillId="17" borderId="5" applyAlignment="1" pivotButton="0" quotePrefix="0" xfId="0">
      <alignment horizontal="right" vertical="bottom"/>
    </xf>
    <xf numFmtId="0" fontId="25" fillId="0" borderId="5" applyAlignment="1" pivotButton="0" quotePrefix="0" xfId="0">
      <alignment horizontal="general" vertical="bottom"/>
    </xf>
    <xf numFmtId="0" fontId="24" fillId="17" borderId="4" applyAlignment="1" pivotButton="0" quotePrefix="0" xfId="0">
      <alignment horizontal="general" vertical="bottom"/>
    </xf>
    <xf numFmtId="0" fontId="24" fillId="17" borderId="7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24" fillId="18" borderId="7" applyAlignment="1" pivotButton="0" quotePrefix="0" xfId="0">
      <alignment horizontal="general" vertical="bottom"/>
    </xf>
    <xf numFmtId="0" fontId="24" fillId="18" borderId="7" applyAlignment="1" pivotButton="0" quotePrefix="0" xfId="0">
      <alignment horizontal="right" vertical="bottom"/>
    </xf>
    <xf numFmtId="10" fontId="24" fillId="18" borderId="7" applyAlignment="1" pivotButton="0" quotePrefix="0" xfId="0">
      <alignment horizontal="general" vertical="bottom"/>
    </xf>
    <xf numFmtId="0" fontId="24" fillId="18" borderId="8" applyAlignment="1" pivotButton="0" quotePrefix="0" xfId="0">
      <alignment horizontal="general" vertical="bottom"/>
    </xf>
    <xf numFmtId="0" fontId="25" fillId="19" borderId="5" applyAlignment="1" pivotButton="0" quotePrefix="0" xfId="0">
      <alignment horizontal="general" vertical="bottom"/>
    </xf>
    <xf numFmtId="0" fontId="24" fillId="18" borderId="9" applyAlignment="1" pivotButton="0" quotePrefix="0" xfId="0">
      <alignment horizontal="general" vertical="bottom"/>
    </xf>
    <xf numFmtId="0" fontId="24" fillId="18" borderId="5" applyAlignment="1" pivotButton="0" quotePrefix="0" xfId="0">
      <alignment horizontal="general" vertical="bottom"/>
    </xf>
    <xf numFmtId="0" fontId="24" fillId="18" borderId="0" applyAlignment="1" pivotButton="0" quotePrefix="0" xfId="0">
      <alignment horizontal="general" vertical="bottom"/>
    </xf>
    <xf numFmtId="0" fontId="24" fillId="18" borderId="5" applyAlignment="1" pivotButton="0" quotePrefix="0" xfId="0">
      <alignment horizontal="right" vertical="bottom"/>
    </xf>
    <xf numFmtId="9" fontId="24" fillId="18" borderId="5" applyAlignment="1" pivotButton="0" quotePrefix="0" xfId="0">
      <alignment horizontal="left" vertical="bottom"/>
    </xf>
    <xf numFmtId="0" fontId="24" fillId="18" borderId="2" applyAlignment="1" pivotButton="0" quotePrefix="0" xfId="0">
      <alignment horizontal="general" vertical="bottom"/>
    </xf>
    <xf numFmtId="0" fontId="24" fillId="18" borderId="4" applyAlignment="1" pivotButton="0" quotePrefix="0" xfId="0">
      <alignment horizontal="general" vertical="bottom"/>
    </xf>
    <xf numFmtId="0" fontId="26" fillId="19" borderId="5" applyAlignment="1" pivotButton="0" quotePrefix="0" xfId="0">
      <alignment horizontal="general" vertical="bottom"/>
    </xf>
    <xf numFmtId="0" fontId="27" fillId="18" borderId="5" applyAlignment="1" pivotButton="0" quotePrefix="0" xfId="0">
      <alignment horizontal="general" vertical="bottom"/>
    </xf>
    <xf numFmtId="0" fontId="24" fillId="20" borderId="5" applyAlignment="1" pivotButton="0" quotePrefix="0" xfId="0">
      <alignment horizontal="general" vertical="bottom"/>
    </xf>
    <xf numFmtId="0" fontId="24" fillId="20" borderId="5" applyAlignment="1" pivotButton="0" quotePrefix="0" xfId="0">
      <alignment horizontal="right" vertical="bottom"/>
    </xf>
    <xf numFmtId="166" fontId="24" fillId="20" borderId="7" applyAlignment="1" pivotButton="0" quotePrefix="0" xfId="0">
      <alignment horizontal="general" vertical="bottom"/>
    </xf>
    <xf numFmtId="0" fontId="24" fillId="20" borderId="0" applyAlignment="1" pivotButton="0" quotePrefix="0" xfId="0">
      <alignment horizontal="general" vertical="bottom"/>
    </xf>
    <xf numFmtId="0" fontId="24" fillId="20" borderId="6" applyAlignment="1" pivotButton="0" quotePrefix="0" xfId="0">
      <alignment horizontal="general" vertical="bottom"/>
    </xf>
    <xf numFmtId="0" fontId="24" fillId="20" borderId="6" applyAlignment="1" pivotButton="0" quotePrefix="0" xfId="0">
      <alignment horizontal="right" vertical="bottom"/>
    </xf>
    <xf numFmtId="166" fontId="24" fillId="20" borderId="5" applyAlignment="1" pivotButton="0" quotePrefix="0" xfId="0">
      <alignment horizontal="general" vertical="bottom"/>
    </xf>
    <xf numFmtId="0" fontId="24" fillId="20" borderId="2" applyAlignment="1" pivotButton="0" quotePrefix="0" xfId="0">
      <alignment horizontal="general" vertical="bottom"/>
    </xf>
    <xf numFmtId="0" fontId="24" fillId="20" borderId="4" applyAlignment="1" pivotButton="0" quotePrefix="0" xfId="0">
      <alignment horizontal="general" vertical="bottom"/>
    </xf>
    <xf numFmtId="0" fontId="24" fillId="21" borderId="5" applyAlignment="1" pivotButton="0" quotePrefix="0" xfId="0">
      <alignment horizontal="general" vertical="bottom"/>
    </xf>
    <xf numFmtId="0" fontId="24" fillId="21" borderId="7" applyAlignment="1" pivotButton="0" quotePrefix="0" xfId="0">
      <alignment horizontal="general" vertical="bottom"/>
    </xf>
    <xf numFmtId="0" fontId="24" fillId="21" borderId="7" applyAlignment="1" pivotButton="0" quotePrefix="0" xfId="0">
      <alignment horizontal="right" vertical="bottom"/>
    </xf>
    <xf numFmtId="0" fontId="24" fillId="21" borderId="5" applyAlignment="1" pivotButton="0" quotePrefix="0" xfId="0">
      <alignment horizontal="right" vertical="bottom"/>
    </xf>
    <xf numFmtId="0" fontId="0" fillId="17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20" borderId="0" applyAlignment="1" pivotButton="0" quotePrefix="0" xfId="0">
      <alignment horizontal="general" vertical="bottom"/>
    </xf>
    <xf numFmtId="0" fontId="0" fillId="21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167" fontId="0" fillId="0" borderId="5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28" fillId="0" borderId="5" applyAlignment="1" pivotButton="0" quotePrefix="0" xfId="0">
      <alignment horizontal="general" vertical="bottom"/>
    </xf>
    <xf numFmtId="0" fontId="0" fillId="2" borderId="5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20" fillId="22" borderId="5" applyAlignment="1" pivotButton="0" quotePrefix="0" xfId="0">
      <alignment horizontal="center" vertical="bottom" wrapText="1"/>
    </xf>
    <xf numFmtId="0" fontId="29" fillId="0" borderId="5" applyAlignment="1" pivotButton="0" quotePrefix="0" xfId="0">
      <alignment horizontal="general" vertical="bottom"/>
    </xf>
    <xf numFmtId="2" fontId="29" fillId="9" borderId="5" applyAlignment="1" pivotButton="0" quotePrefix="0" xfId="0">
      <alignment horizontal="general" vertical="bottom"/>
    </xf>
    <xf numFmtId="166" fontId="29" fillId="9" borderId="5" applyAlignment="1" pivotButton="0" quotePrefix="0" xfId="0">
      <alignment horizontal="general" vertical="bottom"/>
    </xf>
    <xf numFmtId="165" fontId="29" fillId="9" borderId="5" applyAlignment="1" pivotButton="0" quotePrefix="0" xfId="0">
      <alignment horizontal="general" vertical="bottom"/>
    </xf>
    <xf numFmtId="165" fontId="29" fillId="23" borderId="5" applyAlignment="1" pivotButton="0" quotePrefix="0" xfId="0">
      <alignment horizontal="general" vertical="bottom"/>
    </xf>
    <xf numFmtId="165" fontId="29" fillId="9" borderId="5" applyAlignment="1" pivotButton="0" quotePrefix="0" xfId="0">
      <alignment horizontal="center" vertical="bottom"/>
    </xf>
    <xf numFmtId="0" fontId="3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168" fontId="17" fillId="9" borderId="1" applyAlignment="1" pivotButton="0" quotePrefix="0" xfId="0">
      <alignment horizontal="center" vertical="center"/>
    </xf>
    <xf numFmtId="166" fontId="17" fillId="6" borderId="1" applyAlignment="1" pivotButton="0" quotePrefix="0" xfId="0">
      <alignment horizontal="center" vertical="center"/>
    </xf>
    <xf numFmtId="0" fontId="17" fillId="22" borderId="1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7" fillId="24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3" fillId="7" borderId="10" applyAlignment="1" pivotButton="0" quotePrefix="0" xfId="0">
      <alignment horizontal="center" vertical="center" wrapText="1"/>
    </xf>
    <xf numFmtId="166" fontId="17" fillId="22" borderId="1" applyAlignment="1" pivotButton="0" quotePrefix="0" xfId="0">
      <alignment horizontal="center" vertical="center"/>
    </xf>
    <xf numFmtId="165" fontId="17" fillId="24" borderId="1" applyAlignment="1" pivotButton="0" quotePrefix="0" xfId="0">
      <alignment horizontal="center" vertical="center"/>
    </xf>
    <xf numFmtId="0" fontId="17" fillId="24" borderId="1" applyAlignment="1" pivotButton="0" quotePrefix="0" xfId="0">
      <alignment horizontal="left" vertical="center"/>
    </xf>
    <xf numFmtId="2" fontId="17" fillId="22" borderId="1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</cellXfs>
  <cellStyles count="1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 5" xfId="6"/>
    <cellStyle name="Accent 2 6" xfId="7"/>
    <cellStyle name="Accent 3 7" xfId="8"/>
    <cellStyle name="Accent 4" xfId="9"/>
    <cellStyle name="Default 8" xfId="10"/>
    <cellStyle name="Error 9" xfId="11"/>
    <cellStyle name="Footnote 10" xfId="12"/>
    <cellStyle name="Heading 11" xfId="13"/>
    <cellStyle name="Hyperlink 12" xfId="14"/>
    <cellStyle name="Result 13" xfId="15"/>
    <cellStyle name="Status 14" xfId="16"/>
    <cellStyle name="Text 15" xfId="17"/>
    <cellStyle name="Warning 16" xfId="18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E2EFDA"/>
      <rgbColor rgb="FF800080"/>
      <rgbColor rgb="FF008080"/>
      <rgbColor rgb="FFBFBFBF"/>
      <rgbColor rgb="FF808080"/>
      <rgbColor rgb="FFD9D9D9"/>
      <rgbColor rgb="FF993366"/>
      <rgbColor rgb="FFFFFFCC"/>
      <rgbColor rgb="FFDDEBF7"/>
      <rgbColor rgb="FF660066"/>
      <rgbColor rgb="FFF2CFEE"/>
      <rgbColor rgb="FF0066CC"/>
      <rgbColor rgb="FFBDD7EE"/>
      <rgbColor rgb="FF000080"/>
      <rgbColor rgb="FFFF00FF"/>
      <rgbColor rgb="FFFFF2CC"/>
      <rgbColor rgb="FF00FFFF"/>
      <rgbColor rgb="FF800080"/>
      <rgbColor rgb="FF800000"/>
      <rgbColor rgb="FF008080"/>
      <rgbColor rgb="FF0000EE"/>
      <rgbColor rgb="FF00CCFF"/>
      <rgbColor rgb="FFC1E5F5"/>
      <rgbColor rgb="FFD9F2D0"/>
      <rgbColor rgb="FFFFEB9C"/>
      <rgbColor rgb="FFB4C7E7"/>
      <rgbColor rgb="FFF4B084"/>
      <rgbColor rgb="FFD1D1D1"/>
      <rgbColor rgb="FFFFD966"/>
      <rgbColor rgb="FF3366FF"/>
      <rgbColor rgb="FFD9E1F2"/>
      <rgbColor rgb="FFDDDDDD"/>
      <rgbColor rgb="FFFFC000"/>
      <rgbColor rgb="FFFCE4D6"/>
      <rgbColor rgb="FFFF6600"/>
      <rgbColor rgb="FF666666"/>
      <rgbColor rgb="FFC5E0B4"/>
      <rgbColor rgb="FF003366"/>
      <rgbColor rgb="FFDCE6F1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0" zeroHeight="0" outlineLevelRow="0"/>
  <cols>
    <col width="14" customWidth="1" style="111" min="1" max="1"/>
    <col width="6" customWidth="1" style="111" min="2" max="2"/>
    <col width="12" customWidth="1" style="111" min="3" max="6"/>
    <col width="14" customWidth="1" style="111" min="7" max="10"/>
  </cols>
  <sheetData>
    <row r="1" ht="15" customHeight="1" s="112">
      <c r="A1" s="113" t="inlineStr">
        <is>
          <t>Target mass (g):</t>
        </is>
      </c>
      <c r="B1" s="114" t="n">
        <v>7</v>
      </c>
      <c r="C1" s="115" t="inlineStr">
        <is>
          <t>← change here to rescale all masses</t>
        </is>
      </c>
    </row>
    <row r="2" ht="15" customHeight="1" s="112">
      <c r="A2" s="116" t="inlineStr">
        <is>
          <t>Aroma: 2-phenylethanol</t>
        </is>
      </c>
    </row>
    <row r="3" ht="15" customHeight="1" s="112">
      <c r="A3" s="115" t="inlineStr">
        <is>
          <t>Yellow = paste z (mass fracs) from software  |  Green = auto-calculated masses</t>
        </is>
      </c>
    </row>
    <row r="5" ht="15" customHeight="1" s="112">
      <c r="A5" s="117" t="inlineStr">
        <is>
          <t>Solvent</t>
        </is>
      </c>
      <c r="B5" s="117" t="inlineStr">
        <is>
          <t>TL#</t>
        </is>
      </c>
      <c r="C5" s="117" t="inlineStr">
        <is>
          <t>z_aroma</t>
        </is>
      </c>
      <c r="D5" s="117" t="inlineStr">
        <is>
          <t>z_solvent</t>
        </is>
      </c>
      <c r="E5" s="117" t="inlineStr">
        <is>
          <t>z_water</t>
        </is>
      </c>
      <c r="F5" s="117" t="inlineStr">
        <is>
          <t>Σz (check)</t>
        </is>
      </c>
      <c r="G5" s="117" t="inlineStr">
        <is>
          <t>m_aroma (g)</t>
        </is>
      </c>
      <c r="H5" s="117" t="inlineStr">
        <is>
          <t>m_solvent (g)</t>
        </is>
      </c>
      <c r="I5" s="117" t="inlineStr">
        <is>
          <t>m_water (g)</t>
        </is>
      </c>
      <c r="J5" s="117" t="inlineStr">
        <is>
          <t>m_total (g)</t>
        </is>
      </c>
    </row>
    <row r="6" ht="15" customHeight="1" s="112">
      <c r="A6" s="118" t="inlineStr">
        <is>
          <t>2m3b2oh</t>
        </is>
      </c>
      <c r="B6" s="119" t="n">
        <v>1</v>
      </c>
      <c r="C6" s="120" t="n"/>
      <c r="D6" s="120" t="n"/>
      <c r="E6" s="120" t="n"/>
      <c r="F6" s="121">
        <f>IF(C6="","",C6+D6+E6)</f>
        <v/>
      </c>
      <c r="G6" s="121">
        <f>IF(C6="","",C6*$B$1)</f>
        <v/>
      </c>
      <c r="H6" s="121">
        <f>IF(D6="","",D6*$B$1)</f>
        <v/>
      </c>
      <c r="I6" s="121">
        <f>IF(E6="","",E6*$B$1)</f>
        <v/>
      </c>
      <c r="J6" s="121">
        <f>IF(G6="","",G6+H6+I6)</f>
        <v/>
      </c>
    </row>
    <row r="7" ht="15" customHeight="1" s="112">
      <c r="A7" s="119" t="n"/>
      <c r="B7" s="119" t="n">
        <v>2</v>
      </c>
      <c r="C7" s="120" t="n"/>
      <c r="D7" s="120" t="n"/>
      <c r="E7" s="120" t="n"/>
      <c r="F7" s="121">
        <f>IF(C7="","",C7+D7+E7)</f>
        <v/>
      </c>
      <c r="G7" s="121">
        <f>IF(C7="","",C7*$B$1)</f>
        <v/>
      </c>
      <c r="H7" s="121">
        <f>IF(D7="","",D7*$B$1)</f>
        <v/>
      </c>
      <c r="I7" s="121">
        <f>IF(E7="","",E7*$B$1)</f>
        <v/>
      </c>
      <c r="J7" s="121">
        <f>IF(G7="","",G7+H7+I7)</f>
        <v/>
      </c>
    </row>
    <row r="8" ht="15" customHeight="1" s="112">
      <c r="A8" s="119" t="n"/>
      <c r="B8" s="119" t="n">
        <v>3</v>
      </c>
      <c r="C8" s="120" t="n"/>
      <c r="D8" s="120" t="n"/>
      <c r="E8" s="120" t="n"/>
      <c r="F8" s="121">
        <f>IF(C8="","",C8+D8+E8)</f>
        <v/>
      </c>
      <c r="G8" s="121">
        <f>IF(C8="","",C8*$B$1)</f>
        <v/>
      </c>
      <c r="H8" s="121">
        <f>IF(D8="","",D8*$B$1)</f>
        <v/>
      </c>
      <c r="I8" s="121">
        <f>IF(E8="","",E8*$B$1)</f>
        <v/>
      </c>
      <c r="J8" s="121">
        <f>IF(G8="","",G8+H8+I8)</f>
        <v/>
      </c>
    </row>
    <row r="9" ht="15" customHeight="1" s="112">
      <c r="A9" s="119" t="n"/>
      <c r="B9" s="119" t="n">
        <v>4</v>
      </c>
      <c r="C9" s="120" t="n"/>
      <c r="D9" s="120" t="n"/>
      <c r="E9" s="120" t="n"/>
      <c r="F9" s="121">
        <f>IF(C9="","",C9+D9+E9)</f>
        <v/>
      </c>
      <c r="G9" s="121">
        <f>IF(C9="","",C9*$B$1)</f>
        <v/>
      </c>
      <c r="H9" s="121">
        <f>IF(D9="","",D9*$B$1)</f>
        <v/>
      </c>
      <c r="I9" s="121">
        <f>IF(E9="","",E9*$B$1)</f>
        <v/>
      </c>
      <c r="J9" s="121">
        <f>IF(G9="","",G9+H9+I9)</f>
        <v/>
      </c>
    </row>
    <row r="10" ht="15" customHeight="1" s="112">
      <c r="A10" s="119" t="n"/>
      <c r="B10" s="119" t="n">
        <v>5</v>
      </c>
      <c r="C10" s="120" t="n"/>
      <c r="D10" s="120" t="n"/>
      <c r="E10" s="120" t="n"/>
      <c r="F10" s="121">
        <f>IF(C10="","",C10+D10+E10)</f>
        <v/>
      </c>
      <c r="G10" s="121">
        <f>IF(C10="","",C10*$B$1)</f>
        <v/>
      </c>
      <c r="H10" s="121">
        <f>IF(D10="","",D10*$B$1)</f>
        <v/>
      </c>
      <c r="I10" s="121">
        <f>IF(E10="","",E10*$B$1)</f>
        <v/>
      </c>
      <c r="J10" s="121">
        <f>IF(G10="","",G10+H10+I10)</f>
        <v/>
      </c>
    </row>
    <row r="12" ht="15" customHeight="1" s="112">
      <c r="A12" s="118" t="inlineStr">
        <is>
          <t>2m2boh</t>
        </is>
      </c>
      <c r="B12" s="119" t="n">
        <v>1</v>
      </c>
      <c r="C12" s="120" t="n"/>
      <c r="D12" s="120" t="n"/>
      <c r="E12" s="120" t="n"/>
      <c r="F12" s="121">
        <f>IF(C12="","",C12+D12+E12)</f>
        <v/>
      </c>
      <c r="G12" s="121">
        <f>IF(C12="","",C12*$B$1)</f>
        <v/>
      </c>
      <c r="H12" s="121">
        <f>IF(D12="","",D12*$B$1)</f>
        <v/>
      </c>
      <c r="I12" s="121">
        <f>IF(E12="","",E12*$B$1)</f>
        <v/>
      </c>
      <c r="J12" s="121">
        <f>IF(G12="","",G12+H12+I12)</f>
        <v/>
      </c>
    </row>
    <row r="13" ht="15" customHeight="1" s="112">
      <c r="A13" s="119" t="n"/>
      <c r="B13" s="119" t="n">
        <v>2</v>
      </c>
      <c r="C13" s="120" t="n"/>
      <c r="D13" s="120" t="n"/>
      <c r="E13" s="120" t="n"/>
      <c r="F13" s="121">
        <f>IF(C13="","",C13+D13+E13)</f>
        <v/>
      </c>
      <c r="G13" s="121">
        <f>IF(C13="","",C13*$B$1)</f>
        <v/>
      </c>
      <c r="H13" s="121">
        <f>IF(D13="","",D13*$B$1)</f>
        <v/>
      </c>
      <c r="I13" s="121">
        <f>IF(E13="","",E13*$B$1)</f>
        <v/>
      </c>
      <c r="J13" s="121">
        <f>IF(G13="","",G13+H13+I13)</f>
        <v/>
      </c>
    </row>
    <row r="14" ht="15" customHeight="1" s="112">
      <c r="A14" s="119" t="n"/>
      <c r="B14" s="119" t="n">
        <v>3</v>
      </c>
      <c r="C14" s="120" t="n"/>
      <c r="D14" s="120" t="n"/>
      <c r="E14" s="120" t="n"/>
      <c r="F14" s="121">
        <f>IF(C14="","",C14+D14+E14)</f>
        <v/>
      </c>
      <c r="G14" s="121">
        <f>IF(C14="","",C14*$B$1)</f>
        <v/>
      </c>
      <c r="H14" s="121">
        <f>IF(D14="","",D14*$B$1)</f>
        <v/>
      </c>
      <c r="I14" s="121">
        <f>IF(E14="","",E14*$B$1)</f>
        <v/>
      </c>
      <c r="J14" s="121">
        <f>IF(G14="","",G14+H14+I14)</f>
        <v/>
      </c>
    </row>
    <row r="15" ht="15" customHeight="1" s="112">
      <c r="A15" s="119" t="n"/>
      <c r="B15" s="119" t="n">
        <v>4</v>
      </c>
      <c r="C15" s="120" t="n"/>
      <c r="D15" s="120" t="n"/>
      <c r="E15" s="120" t="n"/>
      <c r="F15" s="121">
        <f>IF(C15="","",C15+D15+E15)</f>
        <v/>
      </c>
      <c r="G15" s="121">
        <f>IF(C15="","",C15*$B$1)</f>
        <v/>
      </c>
      <c r="H15" s="121">
        <f>IF(D15="","",D15*$B$1)</f>
        <v/>
      </c>
      <c r="I15" s="121">
        <f>IF(E15="","",E15*$B$1)</f>
        <v/>
      </c>
      <c r="J15" s="121">
        <f>IF(G15="","",G15+H15+I15)</f>
        <v/>
      </c>
    </row>
    <row r="16" ht="15" customHeight="1" s="112">
      <c r="A16" s="119" t="n"/>
      <c r="B16" s="119" t="n">
        <v>5</v>
      </c>
      <c r="C16" s="120" t="n"/>
      <c r="D16" s="120" t="n"/>
      <c r="E16" s="120" t="n"/>
      <c r="F16" s="121">
        <f>IF(C16="","",C16+D16+E16)</f>
        <v/>
      </c>
      <c r="G16" s="121">
        <f>IF(C16="","",C16*$B$1)</f>
        <v/>
      </c>
      <c r="H16" s="121">
        <f>IF(D16="","",D16*$B$1)</f>
        <v/>
      </c>
      <c r="I16" s="121">
        <f>IF(E16="","",E16*$B$1)</f>
        <v/>
      </c>
      <c r="J16" s="121">
        <f>IF(G16="","",G16+H16+I16)</f>
        <v/>
      </c>
    </row>
    <row r="18" ht="15" customHeight="1" s="112">
      <c r="A18" s="118" t="inlineStr">
        <is>
          <t>hexoh</t>
        </is>
      </c>
      <c r="B18" s="119" t="n">
        <v>1</v>
      </c>
      <c r="C18" s="120" t="n"/>
      <c r="D18" s="120" t="n"/>
      <c r="E18" s="120" t="n"/>
      <c r="F18" s="121">
        <f>IF(C18="","",C18+D18+E18)</f>
        <v/>
      </c>
      <c r="G18" s="121">
        <f>IF(C18="","",C18*$B$1)</f>
        <v/>
      </c>
      <c r="H18" s="121">
        <f>IF(D18="","",D18*$B$1)</f>
        <v/>
      </c>
      <c r="I18" s="121">
        <f>IF(E18="","",E18*$B$1)</f>
        <v/>
      </c>
      <c r="J18" s="121">
        <f>IF(G18="","",G18+H18+I18)</f>
        <v/>
      </c>
    </row>
    <row r="19" ht="15" customHeight="1" s="112">
      <c r="A19" s="119" t="n"/>
      <c r="B19" s="119" t="n">
        <v>2</v>
      </c>
      <c r="C19" s="120" t="n"/>
      <c r="D19" s="120" t="n"/>
      <c r="E19" s="120" t="n"/>
      <c r="F19" s="121">
        <f>IF(C19="","",C19+D19+E19)</f>
        <v/>
      </c>
      <c r="G19" s="121">
        <f>IF(C19="","",C19*$B$1)</f>
        <v/>
      </c>
      <c r="H19" s="121">
        <f>IF(D19="","",D19*$B$1)</f>
        <v/>
      </c>
      <c r="I19" s="121">
        <f>IF(E19="","",E19*$B$1)</f>
        <v/>
      </c>
      <c r="J19" s="121">
        <f>IF(G19="","",G19+H19+I19)</f>
        <v/>
      </c>
    </row>
    <row r="20" ht="15" customHeight="1" s="112">
      <c r="A20" s="119" t="n"/>
      <c r="B20" s="119" t="n">
        <v>3</v>
      </c>
      <c r="C20" s="120" t="n"/>
      <c r="D20" s="120" t="n"/>
      <c r="E20" s="120" t="n"/>
      <c r="F20" s="121">
        <f>IF(C20="","",C20+D20+E20)</f>
        <v/>
      </c>
      <c r="G20" s="121">
        <f>IF(C20="","",C20*$B$1)</f>
        <v/>
      </c>
      <c r="H20" s="121">
        <f>IF(D20="","",D20*$B$1)</f>
        <v/>
      </c>
      <c r="I20" s="121">
        <f>IF(E20="","",E20*$B$1)</f>
        <v/>
      </c>
      <c r="J20" s="121">
        <f>IF(G20="","",G20+H20+I20)</f>
        <v/>
      </c>
    </row>
    <row r="21" ht="15" customHeight="1" s="112">
      <c r="A21" s="119" t="n"/>
      <c r="B21" s="119" t="n">
        <v>4</v>
      </c>
      <c r="C21" s="120" t="n"/>
      <c r="D21" s="120" t="n"/>
      <c r="E21" s="120" t="n"/>
      <c r="F21" s="121">
        <f>IF(C21="","",C21+D21+E21)</f>
        <v/>
      </c>
      <c r="G21" s="121">
        <f>IF(C21="","",C21*$B$1)</f>
        <v/>
      </c>
      <c r="H21" s="121">
        <f>IF(D21="","",D21*$B$1)</f>
        <v/>
      </c>
      <c r="I21" s="121">
        <f>IF(E21="","",E21*$B$1)</f>
        <v/>
      </c>
      <c r="J21" s="121">
        <f>IF(G21="","",G21+H21+I21)</f>
        <v/>
      </c>
    </row>
    <row r="22" ht="15" customHeight="1" s="112">
      <c r="A22" s="119" t="n"/>
      <c r="B22" s="119" t="n">
        <v>5</v>
      </c>
      <c r="C22" s="120" t="n"/>
      <c r="D22" s="120" t="n"/>
      <c r="E22" s="120" t="n"/>
      <c r="F22" s="121">
        <f>IF(C22="","",C22+D22+E22)</f>
        <v/>
      </c>
      <c r="G22" s="121">
        <f>IF(C22="","",C22*$B$1)</f>
        <v/>
      </c>
      <c r="H22" s="121">
        <f>IF(D22="","",D22*$B$1)</f>
        <v/>
      </c>
      <c r="I22" s="121">
        <f>IF(E22="","",E22*$B$1)</f>
        <v/>
      </c>
      <c r="J22" s="121">
        <f>IF(G22="","",G22+H22+I22)</f>
        <v/>
      </c>
    </row>
    <row r="24" ht="15" customHeight="1" s="112">
      <c r="A24" s="118" t="inlineStr">
        <is>
          <t>octoh</t>
        </is>
      </c>
      <c r="B24" s="119" t="n">
        <v>1</v>
      </c>
      <c r="C24" s="120" t="n"/>
      <c r="D24" s="120" t="n"/>
      <c r="E24" s="120" t="n"/>
      <c r="F24" s="121">
        <f>IF(C24="","",C24+D24+E24)</f>
        <v/>
      </c>
      <c r="G24" s="121">
        <f>IF(C24="","",C24*$B$1)</f>
        <v/>
      </c>
      <c r="H24" s="121">
        <f>IF(D24="","",D24*$B$1)</f>
        <v/>
      </c>
      <c r="I24" s="121">
        <f>IF(E24="","",E24*$B$1)</f>
        <v/>
      </c>
      <c r="J24" s="121">
        <f>IF(G24="","",G24+H24+I24)</f>
        <v/>
      </c>
    </row>
    <row r="25" ht="15" customHeight="1" s="112">
      <c r="A25" s="119" t="n"/>
      <c r="B25" s="119" t="n">
        <v>2</v>
      </c>
      <c r="C25" s="120" t="n"/>
      <c r="D25" s="120" t="n"/>
      <c r="E25" s="120" t="n"/>
      <c r="F25" s="121">
        <f>IF(C25="","",C25+D25+E25)</f>
        <v/>
      </c>
      <c r="G25" s="121">
        <f>IF(C25="","",C25*$B$1)</f>
        <v/>
      </c>
      <c r="H25" s="121">
        <f>IF(D25="","",D25*$B$1)</f>
        <v/>
      </c>
      <c r="I25" s="121">
        <f>IF(E25="","",E25*$B$1)</f>
        <v/>
      </c>
      <c r="J25" s="121">
        <f>IF(G25="","",G25+H25+I25)</f>
        <v/>
      </c>
    </row>
    <row r="26" ht="15" customHeight="1" s="112">
      <c r="A26" s="119" t="n"/>
      <c r="B26" s="119" t="n">
        <v>3</v>
      </c>
      <c r="C26" s="120" t="n"/>
      <c r="D26" s="120" t="n"/>
      <c r="E26" s="120" t="n"/>
      <c r="F26" s="121">
        <f>IF(C26="","",C26+D26+E26)</f>
        <v/>
      </c>
      <c r="G26" s="121">
        <f>IF(C26="","",C26*$B$1)</f>
        <v/>
      </c>
      <c r="H26" s="121">
        <f>IF(D26="","",D26*$B$1)</f>
        <v/>
      </c>
      <c r="I26" s="121">
        <f>IF(E26="","",E26*$B$1)</f>
        <v/>
      </c>
      <c r="J26" s="121">
        <f>IF(G26="","",G26+H26+I26)</f>
        <v/>
      </c>
    </row>
    <row r="27" ht="15" customHeight="1" s="112">
      <c r="A27" s="119" t="n"/>
      <c r="B27" s="119" t="n">
        <v>4</v>
      </c>
      <c r="C27" s="120" t="n"/>
      <c r="D27" s="120" t="n"/>
      <c r="E27" s="120" t="n"/>
      <c r="F27" s="121">
        <f>IF(C27="","",C27+D27+E27)</f>
        <v/>
      </c>
      <c r="G27" s="121">
        <f>IF(C27="","",C27*$B$1)</f>
        <v/>
      </c>
      <c r="H27" s="121">
        <f>IF(D27="","",D27*$B$1)</f>
        <v/>
      </c>
      <c r="I27" s="121">
        <f>IF(E27="","",E27*$B$1)</f>
        <v/>
      </c>
      <c r="J27" s="121">
        <f>IF(G27="","",G27+H27+I27)</f>
        <v/>
      </c>
    </row>
    <row r="28" ht="15" customHeight="1" s="112">
      <c r="A28" s="119" t="n"/>
      <c r="B28" s="119" t="n">
        <v>5</v>
      </c>
      <c r="C28" s="120" t="n"/>
      <c r="D28" s="120" t="n"/>
      <c r="E28" s="120" t="n"/>
      <c r="F28" s="121">
        <f>IF(C28="","",C28+D28+E28)</f>
        <v/>
      </c>
      <c r="G28" s="121">
        <f>IF(C28="","",C28*$B$1)</f>
        <v/>
      </c>
      <c r="H28" s="121">
        <f>IF(D28="","",D28*$B$1)</f>
        <v/>
      </c>
      <c r="I28" s="121">
        <f>IF(E28="","",E28*$B$1)</f>
        <v/>
      </c>
      <c r="J28" s="121">
        <f>IF(G28="","",G28+H28+I28)</f>
        <v/>
      </c>
    </row>
    <row r="30" ht="15" customHeight="1" s="112">
      <c r="A30" s="118" t="inlineStr">
        <is>
          <t>mibk</t>
        </is>
      </c>
      <c r="B30" s="119" t="n">
        <v>1</v>
      </c>
      <c r="C30" s="120" t="n"/>
      <c r="D30" s="120" t="n"/>
      <c r="E30" s="120" t="n"/>
      <c r="F30" s="121">
        <f>IF(C30="","",C30+D30+E30)</f>
        <v/>
      </c>
      <c r="G30" s="121">
        <f>IF(C30="","",C30*$B$1)</f>
        <v/>
      </c>
      <c r="H30" s="121">
        <f>IF(D30="","",D30*$B$1)</f>
        <v/>
      </c>
      <c r="I30" s="121">
        <f>IF(E30="","",E30*$B$1)</f>
        <v/>
      </c>
      <c r="J30" s="121">
        <f>IF(G30="","",G30+H30+I30)</f>
        <v/>
      </c>
    </row>
    <row r="31" ht="15" customHeight="1" s="112">
      <c r="A31" s="119" t="n"/>
      <c r="B31" s="119" t="n">
        <v>2</v>
      </c>
      <c r="C31" s="120" t="n"/>
      <c r="D31" s="120" t="n"/>
      <c r="E31" s="120" t="n"/>
      <c r="F31" s="121">
        <f>IF(C31="","",C31+D31+E31)</f>
        <v/>
      </c>
      <c r="G31" s="121">
        <f>IF(C31="","",C31*$B$1)</f>
        <v/>
      </c>
      <c r="H31" s="121">
        <f>IF(D31="","",D31*$B$1)</f>
        <v/>
      </c>
      <c r="I31" s="121">
        <f>IF(E31="","",E31*$B$1)</f>
        <v/>
      </c>
      <c r="J31" s="121">
        <f>IF(G31="","",G31+H31+I31)</f>
        <v/>
      </c>
    </row>
    <row r="32" ht="15" customHeight="1" s="112">
      <c r="A32" s="119" t="n"/>
      <c r="B32" s="119" t="n">
        <v>3</v>
      </c>
      <c r="C32" s="120" t="n"/>
      <c r="D32" s="120" t="n"/>
      <c r="E32" s="120" t="n"/>
      <c r="F32" s="121">
        <f>IF(C32="","",C32+D32+E32)</f>
        <v/>
      </c>
      <c r="G32" s="121">
        <f>IF(C32="","",C32*$B$1)</f>
        <v/>
      </c>
      <c r="H32" s="121">
        <f>IF(D32="","",D32*$B$1)</f>
        <v/>
      </c>
      <c r="I32" s="121">
        <f>IF(E32="","",E32*$B$1)</f>
        <v/>
      </c>
      <c r="J32" s="121">
        <f>IF(G32="","",G32+H32+I32)</f>
        <v/>
      </c>
    </row>
    <row r="33" ht="15" customHeight="1" s="112">
      <c r="A33" s="119" t="n"/>
      <c r="B33" s="119" t="n">
        <v>4</v>
      </c>
      <c r="C33" s="120" t="n"/>
      <c r="D33" s="120" t="n"/>
      <c r="E33" s="120" t="n"/>
      <c r="F33" s="121">
        <f>IF(C33="","",C33+D33+E33)</f>
        <v/>
      </c>
      <c r="G33" s="121">
        <f>IF(C33="","",C33*$B$1)</f>
        <v/>
      </c>
      <c r="H33" s="121">
        <f>IF(D33="","",D33*$B$1)</f>
        <v/>
      </c>
      <c r="I33" s="121">
        <f>IF(E33="","",E33*$B$1)</f>
        <v/>
      </c>
      <c r="J33" s="121">
        <f>IF(G33="","",G33+H33+I33)</f>
        <v/>
      </c>
    </row>
    <row r="34" ht="15" customHeight="1" s="112">
      <c r="A34" s="119" t="n"/>
      <c r="B34" s="119" t="n">
        <v>5</v>
      </c>
      <c r="C34" s="120" t="n"/>
      <c r="D34" s="120" t="n"/>
      <c r="E34" s="120" t="n"/>
      <c r="F34" s="121">
        <f>IF(C34="","",C34+D34+E34)</f>
        <v/>
      </c>
      <c r="G34" s="121">
        <f>IF(C34="","",C34*$B$1)</f>
        <v/>
      </c>
      <c r="H34" s="121">
        <f>IF(D34="","",D34*$B$1)</f>
        <v/>
      </c>
      <c r="I34" s="121">
        <f>IF(E34="","",E34*$B$1)</f>
        <v/>
      </c>
      <c r="J34" s="121">
        <f>IF(G34="","",G34+H34+I34)</f>
        <v/>
      </c>
    </row>
    <row r="36" ht="15" customHeight="1" s="112">
      <c r="A36" s="118" t="inlineStr">
        <is>
          <t>2octanone</t>
        </is>
      </c>
      <c r="B36" s="119" t="n">
        <v>1</v>
      </c>
      <c r="C36" s="120" t="n"/>
      <c r="D36" s="120" t="n"/>
      <c r="E36" s="120" t="n"/>
      <c r="F36" s="121">
        <f>IF(C36="","",C36+D36+E36)</f>
        <v/>
      </c>
      <c r="G36" s="121">
        <f>IF(C36="","",C36*$B$1)</f>
        <v/>
      </c>
      <c r="H36" s="121">
        <f>IF(D36="","",D36*$B$1)</f>
        <v/>
      </c>
      <c r="I36" s="121">
        <f>IF(E36="","",E36*$B$1)</f>
        <v/>
      </c>
      <c r="J36" s="121">
        <f>IF(G36="","",G36+H36+I36)</f>
        <v/>
      </c>
    </row>
    <row r="37" ht="15" customHeight="1" s="112">
      <c r="A37" s="119" t="n"/>
      <c r="B37" s="119" t="n">
        <v>2</v>
      </c>
      <c r="C37" s="120" t="n"/>
      <c r="D37" s="120" t="n"/>
      <c r="E37" s="120" t="n"/>
      <c r="F37" s="121">
        <f>IF(C37="","",C37+D37+E37)</f>
        <v/>
      </c>
      <c r="G37" s="121">
        <f>IF(C37="","",C37*$B$1)</f>
        <v/>
      </c>
      <c r="H37" s="121">
        <f>IF(D37="","",D37*$B$1)</f>
        <v/>
      </c>
      <c r="I37" s="121">
        <f>IF(E37="","",E37*$B$1)</f>
        <v/>
      </c>
      <c r="J37" s="121">
        <f>IF(G37="","",G37+H37+I37)</f>
        <v/>
      </c>
    </row>
    <row r="38" ht="15" customHeight="1" s="112">
      <c r="A38" s="119" t="n"/>
      <c r="B38" s="119" t="n">
        <v>3</v>
      </c>
      <c r="C38" s="120" t="n"/>
      <c r="D38" s="120" t="n"/>
      <c r="E38" s="120" t="n"/>
      <c r="F38" s="121">
        <f>IF(C38="","",C38+D38+E38)</f>
        <v/>
      </c>
      <c r="G38" s="121">
        <f>IF(C38="","",C38*$B$1)</f>
        <v/>
      </c>
      <c r="H38" s="121">
        <f>IF(D38="","",D38*$B$1)</f>
        <v/>
      </c>
      <c r="I38" s="121">
        <f>IF(E38="","",E38*$B$1)</f>
        <v/>
      </c>
      <c r="J38" s="121">
        <f>IF(G38="","",G38+H38+I38)</f>
        <v/>
      </c>
    </row>
    <row r="39" ht="15" customHeight="1" s="112">
      <c r="A39" s="119" t="n"/>
      <c r="B39" s="119" t="n">
        <v>4</v>
      </c>
      <c r="C39" s="120" t="n"/>
      <c r="D39" s="120" t="n"/>
      <c r="E39" s="120" t="n"/>
      <c r="F39" s="121">
        <f>IF(C39="","",C39+D39+E39)</f>
        <v/>
      </c>
      <c r="G39" s="121">
        <f>IF(C39="","",C39*$B$1)</f>
        <v/>
      </c>
      <c r="H39" s="121">
        <f>IF(D39="","",D39*$B$1)</f>
        <v/>
      </c>
      <c r="I39" s="121">
        <f>IF(E39="","",E39*$B$1)</f>
        <v/>
      </c>
      <c r="J39" s="121">
        <f>IF(G39="","",G39+H39+I39)</f>
        <v/>
      </c>
    </row>
    <row r="40" ht="15" customHeight="1" s="112">
      <c r="A40" s="119" t="n"/>
      <c r="B40" s="119" t="n">
        <v>5</v>
      </c>
      <c r="C40" s="120" t="n"/>
      <c r="D40" s="120" t="n"/>
      <c r="E40" s="120" t="n"/>
      <c r="F40" s="121">
        <f>IF(C40="","",C40+D40+E40)</f>
        <v/>
      </c>
      <c r="G40" s="121">
        <f>IF(C40="","",C40*$B$1)</f>
        <v/>
      </c>
      <c r="H40" s="121">
        <f>IF(D40="","",D40*$B$1)</f>
        <v/>
      </c>
      <c r="I40" s="121">
        <f>IF(E40="","",E40*$B$1)</f>
        <v/>
      </c>
      <c r="J40" s="121">
        <f>IF(G40="","",G40+H40+I40)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8" activeCellId="0" sqref="B8"/>
    </sheetView>
  </sheetViews>
  <sheetFormatPr baseColWidth="8" defaultColWidth="8.50390625" defaultRowHeight="15" customHeight="0" zeroHeight="0" outlineLevelRow="0"/>
  <cols>
    <col width="25" customWidth="1" style="111" min="1" max="1"/>
    <col width="20" customWidth="1" style="111" min="2" max="2"/>
    <col width="15" customWidth="1" style="111" min="3" max="4"/>
  </cols>
  <sheetData>
    <row r="1" ht="19.5" customHeight="1" s="112">
      <c r="A1" s="122" t="inlineStr">
        <is>
          <t>LLE Experiments Dashboard</t>
        </is>
      </c>
    </row>
    <row r="3" ht="15" customHeight="1" s="112">
      <c r="A3" s="123" t="n"/>
    </row>
    <row r="4" ht="15" customHeight="1" s="112">
      <c r="A4" s="123" t="inlineStr">
        <is>
          <t>DES Systems</t>
        </is>
      </c>
    </row>
    <row r="5" ht="15" customHeight="1" s="112">
      <c r="A5" s="124" t="inlineStr">
        <is>
          <t>Aroma</t>
        </is>
      </c>
      <c r="B5" s="124" t="inlineStr">
        <is>
          <t>Solvents</t>
        </is>
      </c>
      <c r="C5" s="124" t="inlineStr">
        <is>
          <t>Tie Lines</t>
        </is>
      </c>
      <c r="D5" s="124" t="inlineStr">
        <is>
          <t>Status</t>
        </is>
      </c>
    </row>
    <row r="6" ht="15" customHeight="1" s="112">
      <c r="D6" s="125" t="n"/>
    </row>
    <row r="7" ht="15" customHeight="1" s="112">
      <c r="A7" s="111" t="inlineStr">
        <is>
          <t>2-phenylethanol</t>
        </is>
      </c>
      <c r="B7" s="111" t="inlineStr">
        <is>
          <t>9 DES</t>
        </is>
      </c>
      <c r="C7" s="111" t="n">
        <v>45</v>
      </c>
      <c r="D7" s="125" t="inlineStr">
        <is>
          <t>TODO: Ratio</t>
        </is>
      </c>
    </row>
    <row r="8" ht="15" customHeight="1" s="112">
      <c r="D8" s="125" t="n"/>
    </row>
    <row r="9" ht="15" customHeight="1" s="112"/>
    <row r="10" ht="15" customHeight="1" s="112"/>
    <row r="11" ht="15" customHeight="1" s="112">
      <c r="A11" s="126" t="inlineStr">
        <is>
          <t>Data Sources:</t>
        </is>
      </c>
    </row>
    <row r="12" ht="15" customHeight="1" s="112">
      <c r="A12" s="111" t="inlineStr">
        <is>
          <t>• Componentes: Densities (col P), MW (col M), Purity (col I)</t>
        </is>
      </c>
    </row>
    <row r="13" ht="15" customHeight="1" s="112"/>
    <row r="14" ht="14.25" customHeight="1" s="112"/>
    <row r="15" ht="14.25" customHeight="1" s="112"/>
    <row r="16" ht="15" customHeight="1" s="112"/>
    <row r="17" ht="15" customHeight="1" s="112"/>
    <row r="18" ht="15" customHeight="1" s="112"/>
    <row r="19" ht="15" customHeight="1" s="112"/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AC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16" activeCellId="0" sqref="L16"/>
    </sheetView>
  </sheetViews>
  <sheetFormatPr baseColWidth="8" defaultColWidth="8.50390625" defaultRowHeight="12.75" customHeight="0" zeroHeight="0" outlineLevelRow="0"/>
  <cols>
    <col width="17.26" customWidth="1" style="111" min="1" max="1"/>
    <col width="19" customWidth="1" style="111" min="2" max="2"/>
    <col width="17.38" customWidth="1" style="111" min="3" max="3"/>
    <col width="14.38" customWidth="1" style="111" min="4" max="4"/>
    <col width="12.88" customWidth="1" style="111" min="5" max="5"/>
    <col width="30" customWidth="1" style="111" min="6" max="6"/>
    <col width="15.25" customWidth="1" style="111" min="7" max="7"/>
    <col width="13.12" customWidth="1" style="111" min="8" max="8"/>
    <col width="13.5" customWidth="1" style="111" min="9" max="9"/>
    <col width="11.88" customWidth="1" style="111" min="10" max="10"/>
    <col width="12.25" customWidth="1" style="111" min="11" max="11"/>
    <col width="9" customWidth="1" style="111" min="12" max="12"/>
    <col width="14.25" customWidth="1" style="111" min="13" max="13"/>
    <col width="7.63" customWidth="1" style="111" min="14" max="14"/>
    <col width="7" customWidth="1" style="111" min="15" max="15"/>
    <col width="8.76" customWidth="1" style="111" min="16" max="16"/>
    <col width="11" customWidth="1" style="111" min="18" max="18"/>
    <col width="11.88" customWidth="1" style="111" min="19" max="19"/>
    <col width="12.63" customWidth="1" style="111" min="20" max="20"/>
    <col width="9.880000000000001" customWidth="1" style="111" min="21" max="21"/>
    <col width="14" customWidth="1" style="111" min="22" max="22"/>
    <col width="11.38" customWidth="1" style="111" min="23" max="23"/>
    <col width="10.63" customWidth="1" style="111" min="24" max="24"/>
    <col width="9" customWidth="1" style="111" min="25" max="25"/>
  </cols>
  <sheetData>
    <row r="1" ht="15" customHeight="1" s="112">
      <c r="A1" s="127" t="inlineStr">
        <is>
          <t>IDENTIFICADOR</t>
        </is>
      </c>
      <c r="B1" s="128" t="n"/>
      <c r="C1" s="128" t="n"/>
      <c r="D1" s="128" t="n"/>
      <c r="E1" s="128" t="n"/>
      <c r="F1" s="129" t="n"/>
      <c r="G1" s="130" t="inlineStr">
        <is>
          <t>INVENTARIO</t>
        </is>
      </c>
      <c r="H1" s="131" t="n"/>
      <c r="I1" s="131" t="n"/>
      <c r="J1" s="131" t="n"/>
      <c r="K1" s="131" t="n"/>
      <c r="L1" s="132" t="n"/>
      <c r="M1" s="133" t="inlineStr">
        <is>
          <t>PROPIEDADES</t>
        </is>
      </c>
      <c r="N1" s="134" t="n"/>
      <c r="O1" s="134" t="n"/>
      <c r="P1" s="134" t="n"/>
      <c r="Q1" s="134" t="n"/>
      <c r="R1" s="135" t="n"/>
      <c r="S1" s="136" t="inlineStr">
        <is>
          <t>SEGURIDAD</t>
        </is>
      </c>
      <c r="T1" s="137" t="n"/>
      <c r="U1" s="138" t="n"/>
      <c r="V1" s="139" t="inlineStr">
        <is>
          <t>METADATA</t>
        </is>
      </c>
      <c r="W1" s="140" t="n"/>
      <c r="X1" s="141" t="n"/>
    </row>
    <row r="2" ht="14.25" customHeight="1" s="112">
      <c r="A2" s="142" t="inlineStr">
        <is>
          <t>ID</t>
        </is>
      </c>
      <c r="B2" s="142" t="inlineStr">
        <is>
          <t>Chemical Name</t>
        </is>
      </c>
      <c r="C2" s="142" t="inlineStr">
        <is>
          <t>Common Name(s)</t>
        </is>
      </c>
      <c r="D2" s="142" t="inlineStr">
        <is>
          <t>CAS Number</t>
        </is>
      </c>
      <c r="E2" s="142" t="inlineStr">
        <is>
          <t>Formula</t>
        </is>
      </c>
      <c r="F2" s="142" t="inlineStr">
        <is>
          <t>Canonical SMILES</t>
        </is>
      </c>
      <c r="G2" s="142" t="inlineStr">
        <is>
          <t>Location</t>
        </is>
      </c>
      <c r="H2" s="142" t="inlineStr">
        <is>
          <t>Supplier</t>
        </is>
      </c>
      <c r="I2" s="142" t="inlineStr">
        <is>
          <t>Grade/Purity</t>
        </is>
      </c>
      <c r="J2" s="142" t="inlineStr">
        <is>
          <t>Lot Number</t>
        </is>
      </c>
      <c r="K2" s="142" t="inlineStr">
        <is>
          <t>Quantity</t>
        </is>
      </c>
      <c r="L2" s="142" t="inlineStr">
        <is>
          <t>Unit</t>
        </is>
      </c>
      <c r="M2" s="142" t="inlineStr">
        <is>
          <t>MW</t>
        </is>
      </c>
      <c r="N2" s="142" t="inlineStr">
        <is>
          <t>Tb</t>
        </is>
      </c>
      <c r="O2" s="142" t="inlineStr">
        <is>
          <t>Tm</t>
        </is>
      </c>
      <c r="P2" s="142" t="inlineStr">
        <is>
          <t>ρ (25°C)</t>
        </is>
      </c>
      <c r="Q2" s="142" t="inlineStr">
        <is>
          <t>η (25°C)</t>
        </is>
      </c>
      <c r="R2" s="142" t="inlineStr">
        <is>
          <t>Pᵛᵃᵖ (25°C)</t>
        </is>
      </c>
      <c r="S2" s="142" t="inlineStr">
        <is>
          <t>Flash Point</t>
        </is>
      </c>
      <c r="T2" s="142" t="inlineStr">
        <is>
          <t>Hazard Class</t>
        </is>
      </c>
      <c r="U2" s="142" t="inlineStr">
        <is>
          <t>Storage</t>
        </is>
      </c>
      <c r="V2" s="142" t="inlineStr">
        <is>
          <t>Date Received</t>
        </is>
      </c>
      <c r="W2" s="142" t="inlineStr">
        <is>
          <t>Status</t>
        </is>
      </c>
      <c r="X2" s="142" t="inlineStr">
        <is>
          <t>Notes</t>
        </is>
      </c>
      <c r="AA2" s="143" t="inlineStr">
        <is>
          <t>comp_id</t>
        </is>
      </c>
      <c r="AB2" s="143" t="inlineStr">
        <is>
          <t>MW</t>
        </is>
      </c>
      <c r="AC2" s="143" t="inlineStr">
        <is>
          <t>purity</t>
        </is>
      </c>
    </row>
    <row r="3" ht="14.25" customHeight="1" s="112">
      <c r="A3" s="144" t="inlineStr">
        <is>
          <t>Internal component code</t>
        </is>
      </c>
      <c r="B3" s="144" t="inlineStr">
        <is>
          <t>IUPAC or standard name</t>
        </is>
      </c>
      <c r="C3" s="144" t="inlineStr">
        <is>
          <t>Alternative names</t>
        </is>
      </c>
      <c r="D3" s="144" t="inlineStr">
        <is>
          <t>CAS registry number</t>
        </is>
      </c>
      <c r="E3" s="144" t="inlineStr">
        <is>
          <t>Molecular formula</t>
        </is>
      </c>
      <c r="F3" s="144" t="inlineStr">
        <is>
          <t>For modeling/databases</t>
        </is>
      </c>
      <c r="G3" s="144" t="inlineStr">
        <is>
          <t>Lab position (e.g., 3.1)</t>
        </is>
      </c>
      <c r="H3" s="144" t="inlineStr">
        <is>
          <t>Vendor name</t>
        </is>
      </c>
      <c r="I3" s="144" t="inlineStr">
        <is>
          <t>(Según batch)</t>
        </is>
      </c>
      <c r="J3" s="144" t="inlineStr">
        <is>
          <t>Batch identifier</t>
        </is>
      </c>
      <c r="K3" s="144" t="inlineStr">
        <is>
          <t>Amount available</t>
        </is>
      </c>
      <c r="L3" s="144" t="inlineStr">
        <is>
          <t>mL, g, kg, etc.</t>
        </is>
      </c>
      <c r="M3" s="144" t="inlineStr">
        <is>
          <t>g/mol</t>
        </is>
      </c>
      <c r="N3" s="144" t="inlineStr">
        <is>
          <t>°C (1 atm)</t>
        </is>
      </c>
      <c r="O3" s="144" t="inlineStr">
        <is>
          <t>°C</t>
        </is>
      </c>
      <c r="P3" s="144" t="inlineStr">
        <is>
          <t>g/cm³</t>
        </is>
      </c>
      <c r="Q3" s="144" t="inlineStr">
        <is>
          <t>mPa·s</t>
        </is>
      </c>
      <c r="R3" s="144" t="inlineStr">
        <is>
          <t>kPa</t>
        </is>
      </c>
      <c r="S3" s="144" t="inlineStr">
        <is>
          <t>°C</t>
        </is>
      </c>
      <c r="T3" s="144" t="inlineStr">
        <is>
          <t>GHS classification</t>
        </is>
      </c>
      <c r="U3" s="144" t="inlineStr">
        <is>
          <t>Requirements</t>
        </is>
      </c>
      <c r="V3" s="144" t="inlineStr">
        <is>
          <t>YYYY-MM-DD</t>
        </is>
      </c>
      <c r="W3" s="144" t="inlineStr">
        <is>
          <t>Active/Depleted</t>
        </is>
      </c>
      <c r="X3" s="144" t="inlineStr">
        <is>
          <t>Additional info</t>
        </is>
      </c>
      <c r="AA3" s="111" t="inlineStr">
        <is>
          <t>beta</t>
        </is>
      </c>
      <c r="AB3" s="111" t="n">
        <v>192.3</v>
      </c>
      <c r="AC3" s="111" t="n">
        <v>0.978</v>
      </c>
    </row>
    <row r="4" ht="14.25" customHeight="1" s="112">
      <c r="A4" s="145" t="inlineStr">
        <is>
          <t>beta</t>
        </is>
      </c>
      <c r="B4" s="145" t="inlineStr">
        <is>
          <t>b-ionone (trans)</t>
        </is>
      </c>
      <c r="C4" s="146" t="inlineStr">
        <is>
          <t>-</t>
        </is>
      </c>
      <c r="D4" s="145" t="inlineStr">
        <is>
          <t>14901-07-6</t>
        </is>
      </c>
      <c r="E4" s="147" t="inlineStr">
        <is>
          <t>C13H20O</t>
        </is>
      </c>
      <c r="F4" s="145" t="inlineStr">
        <is>
          <t>CC1=C(C(CCC1)(C)C)/C=C/C(=O)C</t>
        </is>
      </c>
      <c r="G4" s="148" t="inlineStr">
        <is>
          <t>REFRIGERADOR</t>
        </is>
      </c>
      <c r="H4" s="145" t="inlineStr">
        <is>
          <t>Sigma-Aldrich</t>
        </is>
      </c>
      <c r="I4" s="145" t="inlineStr">
        <is>
          <t>97.8% (GC)</t>
        </is>
      </c>
      <c r="J4" s="145" t="inlineStr">
        <is>
          <t>SHBL2869</t>
        </is>
      </c>
      <c r="K4" s="145" t="n">
        <v>1</v>
      </c>
      <c r="L4" s="145" t="inlineStr">
        <is>
          <t>L</t>
        </is>
      </c>
      <c r="M4" s="145" t="n">
        <v>192.3</v>
      </c>
      <c r="N4" s="145" t="n">
        <v>266</v>
      </c>
      <c r="O4" s="146" t="inlineStr">
        <is>
          <t>-</t>
        </is>
      </c>
      <c r="P4" s="149" t="n">
        <v>0.94498</v>
      </c>
      <c r="Q4" s="150" t="n"/>
      <c r="R4" s="151" t="inlineStr">
        <is>
          <t>-</t>
        </is>
      </c>
      <c r="S4" s="151" t="inlineStr">
        <is>
          <t>-</t>
        </is>
      </c>
      <c r="T4" s="151" t="inlineStr">
        <is>
          <t>-</t>
        </is>
      </c>
      <c r="U4" s="151" t="inlineStr">
        <is>
          <t>-</t>
        </is>
      </c>
      <c r="V4" s="151" t="inlineStr">
        <is>
          <t>-</t>
        </is>
      </c>
      <c r="W4" s="151" t="inlineStr">
        <is>
          <t>Active</t>
        </is>
      </c>
      <c r="X4" s="145" t="n"/>
      <c r="AA4" s="111" t="inlineStr">
        <is>
          <t>2pe</t>
        </is>
      </c>
      <c r="AB4" s="111" t="n">
        <v>122.16</v>
      </c>
      <c r="AC4" s="152" t="n">
        <v>1</v>
      </c>
    </row>
    <row r="5" ht="14.25" customHeight="1" s="112">
      <c r="A5" s="145" t="inlineStr">
        <is>
          <t>2pe</t>
        </is>
      </c>
      <c r="B5" s="145" t="inlineStr">
        <is>
          <t>2-phenylethanol</t>
        </is>
      </c>
      <c r="C5" s="146" t="inlineStr">
        <is>
          <t>-</t>
        </is>
      </c>
      <c r="D5" s="145" t="inlineStr">
        <is>
          <t>60-12-8</t>
        </is>
      </c>
      <c r="E5" s="150" t="inlineStr">
        <is>
          <t>C8H10O</t>
        </is>
      </c>
      <c r="F5" s="145" t="inlineStr">
        <is>
          <t>OCCc1ccccc1</t>
        </is>
      </c>
      <c r="G5" s="148" t="inlineStr">
        <is>
          <t>3.x</t>
        </is>
      </c>
      <c r="H5" s="145" t="inlineStr">
        <is>
          <t>Sigma-Aldrich</t>
        </is>
      </c>
      <c r="I5" s="145" t="inlineStr">
        <is>
          <t>&gt; 99.9% (GC)</t>
        </is>
      </c>
      <c r="J5" s="145" t="inlineStr">
        <is>
          <t>SDBB2371</t>
        </is>
      </c>
      <c r="K5" s="145" t="n">
        <v>1</v>
      </c>
      <c r="L5" s="145" t="inlineStr">
        <is>
          <t>L</t>
        </is>
      </c>
      <c r="M5" s="145" t="n">
        <v>122.16</v>
      </c>
      <c r="N5" s="145" t="n">
        <v>219</v>
      </c>
      <c r="O5" s="146" t="inlineStr">
        <is>
          <t>-</t>
        </is>
      </c>
      <c r="P5" s="149" t="n">
        <v>1.01985</v>
      </c>
      <c r="Q5" s="150" t="n"/>
      <c r="R5" s="151" t="inlineStr">
        <is>
          <t>-</t>
        </is>
      </c>
      <c r="S5" s="151" t="inlineStr">
        <is>
          <t>-</t>
        </is>
      </c>
      <c r="T5" s="151" t="inlineStr">
        <is>
          <t>-</t>
        </is>
      </c>
      <c r="U5" s="151" t="inlineStr">
        <is>
          <t>-</t>
        </is>
      </c>
      <c r="V5" s="151" t="inlineStr">
        <is>
          <t>-</t>
        </is>
      </c>
      <c r="W5" s="151" t="inlineStr">
        <is>
          <t>Active</t>
        </is>
      </c>
      <c r="X5" s="145" t="n"/>
      <c r="AA5" s="111" t="inlineStr">
        <is>
          <t>gamma</t>
        </is>
      </c>
      <c r="AB5" s="111" t="n">
        <v>170.25</v>
      </c>
      <c r="AC5" s="111" t="n">
        <v>0.987</v>
      </c>
    </row>
    <row r="6" ht="14.25" customHeight="1" s="112">
      <c r="A6" s="145" t="inlineStr">
        <is>
          <t>gamma</t>
        </is>
      </c>
      <c r="B6" s="145" t="inlineStr">
        <is>
          <t>g-decalactone</t>
        </is>
      </c>
      <c r="C6" s="146" t="inlineStr">
        <is>
          <t>-</t>
        </is>
      </c>
      <c r="D6" s="145" t="inlineStr">
        <is>
          <t>706-14-9</t>
        </is>
      </c>
      <c r="E6" s="150" t="inlineStr">
        <is>
          <t>C10H18O2</t>
        </is>
      </c>
      <c r="F6" s="145" t="inlineStr">
        <is>
          <t>CCCCCCC1CCC(=O)O1</t>
        </is>
      </c>
      <c r="G6" s="148" t="inlineStr">
        <is>
          <t>3.x</t>
        </is>
      </c>
      <c r="H6" s="145" t="inlineStr">
        <is>
          <t>Sigma-Aldrich</t>
        </is>
      </c>
      <c r="I6" s="145" t="inlineStr">
        <is>
          <t>98.7% (GC)</t>
        </is>
      </c>
      <c r="J6" s="145" t="inlineStr">
        <is>
          <t>SHBR4960</t>
        </is>
      </c>
      <c r="K6" s="145" t="n">
        <v>1</v>
      </c>
      <c r="L6" s="145" t="inlineStr">
        <is>
          <t>L</t>
        </is>
      </c>
      <c r="M6" s="145" t="n">
        <v>170.25</v>
      </c>
      <c r="N6" s="145" t="n">
        <v>285</v>
      </c>
      <c r="O6" s="146" t="inlineStr">
        <is>
          <t>-</t>
        </is>
      </c>
      <c r="P6" s="149" t="n">
        <v>0.95292</v>
      </c>
      <c r="Q6" s="150" t="n"/>
      <c r="R6" s="151" t="inlineStr">
        <is>
          <t>-</t>
        </is>
      </c>
      <c r="S6" s="151" t="inlineStr">
        <is>
          <t>-</t>
        </is>
      </c>
      <c r="T6" s="151" t="inlineStr">
        <is>
          <t>-</t>
        </is>
      </c>
      <c r="U6" s="151" t="inlineStr">
        <is>
          <t>-</t>
        </is>
      </c>
      <c r="V6" s="151" t="inlineStr">
        <is>
          <t>-</t>
        </is>
      </c>
      <c r="W6" s="151" t="inlineStr">
        <is>
          <t>Active</t>
        </is>
      </c>
      <c r="X6" s="145" t="n"/>
      <c r="AA6" s="111" t="inlineStr">
        <is>
          <t>2m3b2oh</t>
        </is>
      </c>
      <c r="AB6" s="111" t="n">
        <v>86.13</v>
      </c>
      <c r="AC6" s="111" t="n">
        <v>0.996</v>
      </c>
    </row>
    <row r="7" ht="14.25" customHeight="1" s="112">
      <c r="A7" s="153" t="inlineStr">
        <is>
          <t>2m3b2oh</t>
        </is>
      </c>
      <c r="B7" s="153" t="inlineStr">
        <is>
          <t>2-methyl-3-buten-2-ol</t>
        </is>
      </c>
      <c r="C7" s="153" t="inlineStr">
        <is>
          <t>2M3B2OH</t>
        </is>
      </c>
      <c r="D7" s="153" t="inlineStr">
        <is>
          <t>115-18-4</t>
        </is>
      </c>
      <c r="E7" s="153" t="inlineStr">
        <is>
          <t>C5H10O</t>
        </is>
      </c>
      <c r="F7" s="153" t="inlineStr">
        <is>
          <t>CC(C)(C=C)O</t>
        </is>
      </c>
      <c r="G7" s="154" t="inlineStr">
        <is>
          <t>REFRIGERADOR</t>
        </is>
      </c>
      <c r="H7" s="153" t="inlineStr">
        <is>
          <t>Aldrich</t>
        </is>
      </c>
      <c r="I7" s="155" t="inlineStr">
        <is>
          <t>99.6% (GC)</t>
        </is>
      </c>
      <c r="J7" s="153" t="inlineStr">
        <is>
          <t>STBH5331</t>
        </is>
      </c>
      <c r="K7" s="154" t="n">
        <v>1</v>
      </c>
      <c r="L7" s="153" t="inlineStr">
        <is>
          <t>L</t>
        </is>
      </c>
      <c r="M7" s="153" t="n">
        <v>86.13</v>
      </c>
      <c r="N7" s="153" t="n">
        <v>99</v>
      </c>
      <c r="O7" s="156" t="inlineStr">
        <is>
          <t>-</t>
        </is>
      </c>
      <c r="P7" s="157" t="n">
        <v>0.8238799999999999</v>
      </c>
      <c r="Q7" s="158" t="n"/>
      <c r="R7" s="153" t="inlineStr">
        <is>
          <t>-</t>
        </is>
      </c>
      <c r="S7" s="153" t="inlineStr">
        <is>
          <t>-</t>
        </is>
      </c>
      <c r="T7" s="153" t="inlineStr">
        <is>
          <t>-</t>
        </is>
      </c>
      <c r="U7" s="153" t="inlineStr">
        <is>
          <t>-</t>
        </is>
      </c>
      <c r="V7" s="153" t="inlineStr">
        <is>
          <t>-</t>
        </is>
      </c>
      <c r="W7" s="153" t="inlineStr">
        <is>
          <t>Active</t>
        </is>
      </c>
      <c r="X7" s="153" t="n"/>
      <c r="AA7" s="111" t="inlineStr">
        <is>
          <t>2m2boh</t>
        </is>
      </c>
      <c r="AB7" s="111" t="n">
        <v>88.15000000000001</v>
      </c>
      <c r="AC7" s="152" t="n">
        <v>1</v>
      </c>
    </row>
    <row r="8" ht="14.25" customHeight="1" s="112">
      <c r="A8" s="159" t="inlineStr">
        <is>
          <t>2m2boh</t>
        </is>
      </c>
      <c r="B8" s="159" t="inlineStr">
        <is>
          <t>2-methyl-2-butanol</t>
        </is>
      </c>
      <c r="C8" s="159" t="inlineStr">
        <is>
          <t>tert-amyl alcohol</t>
        </is>
      </c>
      <c r="D8" s="159" t="inlineStr">
        <is>
          <t>75-85-4</t>
        </is>
      </c>
      <c r="E8" s="160" t="inlineStr">
        <is>
          <t>C5H12O</t>
        </is>
      </c>
      <c r="F8" s="159" t="inlineStr">
        <is>
          <t>CCC(C)(C)O</t>
        </is>
      </c>
      <c r="G8" s="161" t="n">
        <v>3.2</v>
      </c>
      <c r="H8" s="159" t="inlineStr">
        <is>
          <t>Sigma-Aldrich</t>
        </is>
      </c>
      <c r="I8" s="162" t="inlineStr">
        <is>
          <t>&gt;99.9% (GC)</t>
        </is>
      </c>
      <c r="J8" s="159" t="inlineStr">
        <is>
          <t>SDBB4598</t>
        </is>
      </c>
      <c r="K8" s="161" t="n">
        <v>1</v>
      </c>
      <c r="L8" s="159" t="inlineStr">
        <is>
          <t>L</t>
        </is>
      </c>
      <c r="M8" s="159" t="n">
        <v>88.15000000000001</v>
      </c>
      <c r="N8" s="159" t="n">
        <v>102</v>
      </c>
      <c r="O8" s="163" t="inlineStr">
        <is>
          <t>-</t>
        </is>
      </c>
      <c r="P8" s="157" t="n">
        <v>0.80899</v>
      </c>
      <c r="Q8" s="164" t="n"/>
      <c r="R8" s="159" t="inlineStr">
        <is>
          <t>-</t>
        </is>
      </c>
      <c r="S8" s="159" t="inlineStr">
        <is>
          <t>-</t>
        </is>
      </c>
      <c r="T8" s="159" t="inlineStr">
        <is>
          <t>-</t>
        </is>
      </c>
      <c r="U8" s="159" t="inlineStr">
        <is>
          <t>-</t>
        </is>
      </c>
      <c r="V8" s="159" t="inlineStr">
        <is>
          <t>-</t>
        </is>
      </c>
      <c r="W8" s="159" t="inlineStr">
        <is>
          <t>Active</t>
        </is>
      </c>
      <c r="X8" s="159" t="n"/>
      <c r="AA8" s="111" t="inlineStr">
        <is>
          <t>hexoh</t>
        </is>
      </c>
      <c r="AB8" s="111" t="n">
        <v>102.17</v>
      </c>
      <c r="AC8" s="111" t="n">
        <v>0.998</v>
      </c>
    </row>
    <row r="9" ht="14.25" customHeight="1" s="112">
      <c r="A9" s="159" t="inlineStr">
        <is>
          <t>hexoh</t>
        </is>
      </c>
      <c r="B9" s="159" t="inlineStr">
        <is>
          <t>1-hexanol</t>
        </is>
      </c>
      <c r="C9" s="159" t="inlineStr">
        <is>
          <t>-</t>
        </is>
      </c>
      <c r="D9" s="159" t="inlineStr">
        <is>
          <t>111-27-3</t>
        </is>
      </c>
      <c r="E9" s="159" t="inlineStr">
        <is>
          <t>C6H18O</t>
        </is>
      </c>
      <c r="F9" s="159" t="inlineStr">
        <is>
          <t>CCCCCCO</t>
        </is>
      </c>
      <c r="G9" s="161" t="inlineStr">
        <is>
          <t>1.3.</t>
        </is>
      </c>
      <c r="H9" s="159" t="inlineStr">
        <is>
          <t>Sigma-Aldrich</t>
        </is>
      </c>
      <c r="I9" s="159" t="inlineStr">
        <is>
          <t>99.8% (GC)</t>
        </is>
      </c>
      <c r="J9" s="159" t="inlineStr">
        <is>
          <t>SHBC9189V</t>
        </is>
      </c>
      <c r="K9" s="161" t="n">
        <v>700</v>
      </c>
      <c r="L9" s="159" t="inlineStr">
        <is>
          <t>mL</t>
        </is>
      </c>
      <c r="M9" s="159" t="n">
        <v>102.17</v>
      </c>
      <c r="N9" s="159" t="n">
        <v>156</v>
      </c>
      <c r="O9" s="163" t="inlineStr">
        <is>
          <t>-</t>
        </is>
      </c>
      <c r="P9" s="157" t="n">
        <v>0.8188299999999999</v>
      </c>
      <c r="Q9" s="164" t="n"/>
      <c r="R9" s="159" t="inlineStr">
        <is>
          <t>-</t>
        </is>
      </c>
      <c r="S9" s="159" t="inlineStr">
        <is>
          <t>-</t>
        </is>
      </c>
      <c r="T9" s="159" t="inlineStr">
        <is>
          <t>-</t>
        </is>
      </c>
      <c r="U9" s="159" t="inlineStr">
        <is>
          <t>-</t>
        </is>
      </c>
      <c r="V9" s="159" t="inlineStr">
        <is>
          <t>-</t>
        </is>
      </c>
      <c r="W9" s="159" t="inlineStr">
        <is>
          <t>Active</t>
        </is>
      </c>
      <c r="X9" s="159" t="n"/>
      <c r="AA9" s="111" t="inlineStr">
        <is>
          <t>octoh</t>
        </is>
      </c>
      <c r="AB9" s="111" t="n">
        <v>130.23</v>
      </c>
      <c r="AC9" s="111" t="n">
        <v>0.997</v>
      </c>
    </row>
    <row r="10" ht="14.25" customHeight="1" s="112">
      <c r="A10" s="159" t="inlineStr">
        <is>
          <t>octoh</t>
        </is>
      </c>
      <c r="B10" s="159" t="inlineStr">
        <is>
          <t>1-octanol</t>
        </is>
      </c>
      <c r="C10" s="159" t="inlineStr">
        <is>
          <t>-</t>
        </is>
      </c>
      <c r="D10" s="159" t="inlineStr">
        <is>
          <t>111-87-5</t>
        </is>
      </c>
      <c r="E10" s="159" t="inlineStr">
        <is>
          <t>C8H18O</t>
        </is>
      </c>
      <c r="F10" s="159" t="inlineStr">
        <is>
          <t>CCCCCCCCO</t>
        </is>
      </c>
      <c r="G10" s="161" t="n">
        <v>1.2</v>
      </c>
      <c r="H10" s="159" t="inlineStr">
        <is>
          <t>Sigma-Aldrich</t>
        </is>
      </c>
      <c r="I10" s="159" t="inlineStr">
        <is>
          <t>99.7% (GC)</t>
        </is>
      </c>
      <c r="J10" s="159" t="inlineStr">
        <is>
          <t>SDBB1117</t>
        </is>
      </c>
      <c r="K10" s="161" t="inlineStr">
        <is>
          <t>200?</t>
        </is>
      </c>
      <c r="L10" s="159" t="inlineStr">
        <is>
          <t>mL</t>
        </is>
      </c>
      <c r="M10" s="159" t="n">
        <v>130.23</v>
      </c>
      <c r="N10" s="159" t="n">
        <v>195</v>
      </c>
      <c r="O10" s="163" t="inlineStr">
        <is>
          <t>-</t>
        </is>
      </c>
      <c r="P10" s="165" t="n">
        <v>0.82518</v>
      </c>
      <c r="Q10" s="164" t="n"/>
      <c r="R10" s="159" t="inlineStr">
        <is>
          <t>-</t>
        </is>
      </c>
      <c r="S10" s="159" t="inlineStr">
        <is>
          <t>-</t>
        </is>
      </c>
      <c r="T10" s="159" t="inlineStr">
        <is>
          <t>-</t>
        </is>
      </c>
      <c r="U10" s="159" t="inlineStr">
        <is>
          <t>-</t>
        </is>
      </c>
      <c r="V10" s="159" t="inlineStr">
        <is>
          <t>-</t>
        </is>
      </c>
      <c r="W10" s="159" t="inlineStr">
        <is>
          <t>Active</t>
        </is>
      </c>
      <c r="X10" s="159" t="n"/>
      <c r="AA10" s="111" t="inlineStr">
        <is>
          <t>mibk</t>
        </is>
      </c>
      <c r="AB10" s="111" t="n">
        <v>100.16</v>
      </c>
      <c r="AC10" s="111" t="n">
        <v>0.998</v>
      </c>
    </row>
    <row r="11" ht="14.25" customHeight="1" s="112">
      <c r="A11" s="159" t="inlineStr">
        <is>
          <t>mibk</t>
        </is>
      </c>
      <c r="B11" s="159" t="inlineStr">
        <is>
          <t>methyl isobutyl ketone</t>
        </is>
      </c>
      <c r="C11" s="159" t="inlineStr">
        <is>
          <t>MIBK</t>
        </is>
      </c>
      <c r="D11" s="159" t="inlineStr">
        <is>
          <t>108-10-1</t>
        </is>
      </c>
      <c r="E11" s="160" t="inlineStr">
        <is>
          <t>C6H12O</t>
        </is>
      </c>
      <c r="F11" s="159" t="inlineStr">
        <is>
          <t>CC(C)CC(=O)C</t>
        </is>
      </c>
      <c r="G11" s="161" t="n">
        <v>2.4</v>
      </c>
      <c r="H11" s="159" t="inlineStr">
        <is>
          <t>Merck Millipor</t>
        </is>
      </c>
      <c r="I11" s="159" t="inlineStr">
        <is>
          <t>99.8% (GC)</t>
        </is>
      </c>
      <c r="J11" s="159" t="inlineStr">
        <is>
          <t>K51239346927</t>
        </is>
      </c>
      <c r="K11" s="161" t="inlineStr">
        <is>
          <t>300?</t>
        </is>
      </c>
      <c r="L11" s="159" t="inlineStr">
        <is>
          <t>mL</t>
        </is>
      </c>
      <c r="M11" s="159" t="n">
        <v>100.16</v>
      </c>
      <c r="N11" s="159" t="n">
        <v>115</v>
      </c>
      <c r="O11" s="163" t="inlineStr">
        <is>
          <t>-</t>
        </is>
      </c>
      <c r="P11" s="165" t="n">
        <v>0.80143</v>
      </c>
      <c r="Q11" s="164" t="n"/>
      <c r="R11" s="159" t="inlineStr">
        <is>
          <t>-</t>
        </is>
      </c>
      <c r="S11" s="159" t="inlineStr">
        <is>
          <t>-</t>
        </is>
      </c>
      <c r="T11" s="159" t="inlineStr">
        <is>
          <t>-</t>
        </is>
      </c>
      <c r="U11" s="159" t="inlineStr">
        <is>
          <t>-</t>
        </is>
      </c>
      <c r="V11" s="159" t="inlineStr">
        <is>
          <t>-</t>
        </is>
      </c>
      <c r="W11" s="159" t="inlineStr">
        <is>
          <t>Active</t>
        </is>
      </c>
      <c r="X11" s="159" t="n"/>
      <c r="AA11" s="111" t="inlineStr">
        <is>
          <t>2octanone</t>
        </is>
      </c>
      <c r="AB11" s="111" t="n">
        <v>128.21</v>
      </c>
      <c r="AC11" s="111" t="n">
        <v>0.988</v>
      </c>
    </row>
    <row r="12" ht="14.25" customHeight="1" s="112">
      <c r="A12" s="159" t="inlineStr">
        <is>
          <t>2octanone</t>
        </is>
      </c>
      <c r="B12" s="159" t="inlineStr">
        <is>
          <t>2-octanone</t>
        </is>
      </c>
      <c r="C12" s="159" t="inlineStr">
        <is>
          <t>Hexyl methyl ketone</t>
        </is>
      </c>
      <c r="D12" s="159" t="inlineStr">
        <is>
          <t>111-13-7</t>
        </is>
      </c>
      <c r="E12" s="160" t="inlineStr">
        <is>
          <t>C8H16O</t>
        </is>
      </c>
      <c r="F12" s="159" t="inlineStr">
        <is>
          <t>CCCCCCC(=O)C</t>
        </is>
      </c>
      <c r="G12" s="161" t="n">
        <v>3.2</v>
      </c>
      <c r="H12" s="159" t="inlineStr">
        <is>
          <t>Sigma-Aldrich</t>
        </is>
      </c>
      <c r="I12" s="166" t="inlineStr">
        <is>
          <t>98.8% (GC)</t>
        </is>
      </c>
      <c r="J12" s="159" t="inlineStr">
        <is>
          <t>SHBQ4121</t>
        </is>
      </c>
      <c r="K12" s="161" t="inlineStr">
        <is>
          <t>200?</t>
        </is>
      </c>
      <c r="L12" s="159" t="inlineStr">
        <is>
          <t>mL</t>
        </is>
      </c>
      <c r="M12" s="159" t="n">
        <v>128.21</v>
      </c>
      <c r="N12" s="159" t="n">
        <v>173</v>
      </c>
      <c r="O12" s="163" t="inlineStr">
        <is>
          <t>-</t>
        </is>
      </c>
      <c r="P12" s="157" t="n">
        <v>0.81906</v>
      </c>
      <c r="Q12" s="164" t="n"/>
      <c r="R12" s="159" t="inlineStr">
        <is>
          <t>-</t>
        </is>
      </c>
      <c r="S12" s="159" t="inlineStr">
        <is>
          <t>-</t>
        </is>
      </c>
      <c r="T12" s="159" t="inlineStr">
        <is>
          <t>-</t>
        </is>
      </c>
      <c r="U12" s="159" t="inlineStr">
        <is>
          <t>-</t>
        </is>
      </c>
      <c r="V12" s="159" t="inlineStr">
        <is>
          <t>-</t>
        </is>
      </c>
      <c r="W12" s="159" t="inlineStr">
        <is>
          <t>Active</t>
        </is>
      </c>
      <c r="X12" s="159" t="n"/>
      <c r="AA12" s="111" t="inlineStr">
        <is>
          <t>thymol</t>
        </is>
      </c>
      <c r="AB12" s="111" t="n">
        <v>150.22</v>
      </c>
      <c r="AC12" s="111" t="n">
        <v>0.999</v>
      </c>
    </row>
    <row r="13" ht="14.25" customHeight="1" s="112">
      <c r="A13" s="167" t="inlineStr">
        <is>
          <t>thymol</t>
        </is>
      </c>
      <c r="B13" s="167" t="inlineStr">
        <is>
          <t>Thymol</t>
        </is>
      </c>
      <c r="C13" s="167" t="inlineStr">
        <is>
          <t>-</t>
        </is>
      </c>
      <c r="D13" s="167" t="inlineStr">
        <is>
          <t>89-83-8</t>
        </is>
      </c>
      <c r="E13" s="167" t="inlineStr">
        <is>
          <t>C10H14O</t>
        </is>
      </c>
      <c r="F13" s="167" t="inlineStr">
        <is>
          <t>Cc1ccc(C(C)C)c(O)c1</t>
        </is>
      </c>
      <c r="G13" s="168" t="n">
        <v>1.2</v>
      </c>
      <c r="H13" s="167" t="inlineStr">
        <is>
          <t>Sigma-Aldrich</t>
        </is>
      </c>
      <c r="I13" s="167" t="inlineStr">
        <is>
          <t>&gt;99.9% (GC)</t>
        </is>
      </c>
      <c r="J13" s="167" t="inlineStr">
        <is>
          <t>SHBQ5769</t>
        </is>
      </c>
      <c r="K13" s="168" t="n">
        <v>800</v>
      </c>
      <c r="L13" s="167" t="inlineStr">
        <is>
          <t>g</t>
        </is>
      </c>
      <c r="M13" s="167" t="n">
        <v>150.22</v>
      </c>
      <c r="N13" s="167" t="n">
        <v>233</v>
      </c>
      <c r="O13" s="167" t="inlineStr">
        <is>
          <t>-</t>
        </is>
      </c>
      <c r="P13" s="169" t="n">
        <v>0.96</v>
      </c>
      <c r="Q13" s="167" t="n"/>
      <c r="R13" s="167" t="inlineStr">
        <is>
          <t>-</t>
        </is>
      </c>
      <c r="S13" s="167" t="inlineStr">
        <is>
          <t>-</t>
        </is>
      </c>
      <c r="T13" s="167" t="inlineStr">
        <is>
          <t>-</t>
        </is>
      </c>
      <c r="U13" s="167" t="inlineStr">
        <is>
          <t>-</t>
        </is>
      </c>
      <c r="V13" s="167" t="inlineStr">
        <is>
          <t>-</t>
        </is>
      </c>
      <c r="W13" s="167" t="inlineStr">
        <is>
          <t>Active</t>
        </is>
      </c>
      <c r="X13" s="167" t="n"/>
      <c r="AA13" s="111" t="inlineStr">
        <is>
          <t>carvone</t>
        </is>
      </c>
      <c r="AB13" s="111" t="n">
        <v>150.22</v>
      </c>
      <c r="AC13" s="111" t="n">
        <v>0.992</v>
      </c>
    </row>
    <row r="14" ht="14.25" customHeight="1" s="112">
      <c r="A14" s="167" t="inlineStr">
        <is>
          <t>carvone</t>
        </is>
      </c>
      <c r="B14" s="167" t="inlineStr">
        <is>
          <t>L-Carvone</t>
        </is>
      </c>
      <c r="C14" s="167" t="inlineStr">
        <is>
          <t>(-)-Carvone</t>
        </is>
      </c>
      <c r="D14" s="167" t="inlineStr">
        <is>
          <t>6485-40-1</t>
        </is>
      </c>
      <c r="E14" s="170" t="inlineStr">
        <is>
          <t>C10H14O</t>
        </is>
      </c>
      <c r="F14" s="171" t="inlineStr">
        <is>
          <t>C=C(C)[C@@H]1CC=C(C)C(=O)C1</t>
        </is>
      </c>
      <c r="G14" s="172" t="n">
        <v>1.2</v>
      </c>
      <c r="H14" s="167" t="inlineStr">
        <is>
          <t>Sigma-Aldrich</t>
        </is>
      </c>
      <c r="I14" s="167" t="inlineStr">
        <is>
          <t>99.2% (GC)</t>
        </is>
      </c>
      <c r="J14" s="167" t="inlineStr">
        <is>
          <t>SHBQ8402</t>
        </is>
      </c>
      <c r="K14" s="168" t="n">
        <v>1</v>
      </c>
      <c r="L14" s="167" t="inlineStr">
        <is>
          <t>kg</t>
        </is>
      </c>
      <c r="M14" s="167" t="n">
        <v>150.22</v>
      </c>
      <c r="N14" s="167" t="n">
        <v>226</v>
      </c>
      <c r="O14" s="167" t="inlineStr">
        <is>
          <t>-</t>
        </is>
      </c>
      <c r="P14" s="173" t="n">
        <v>0.96</v>
      </c>
      <c r="Q14" s="167" t="n"/>
      <c r="R14" s="167" t="inlineStr">
        <is>
          <t>-</t>
        </is>
      </c>
      <c r="S14" s="167" t="inlineStr">
        <is>
          <t>-</t>
        </is>
      </c>
      <c r="T14" s="167" t="inlineStr">
        <is>
          <t>-</t>
        </is>
      </c>
      <c r="U14" s="167" t="inlineStr">
        <is>
          <t>-</t>
        </is>
      </c>
      <c r="V14" s="167" t="inlineStr">
        <is>
          <t>-</t>
        </is>
      </c>
      <c r="W14" s="167" t="inlineStr">
        <is>
          <t>Active</t>
        </is>
      </c>
      <c r="X14" s="167" t="n"/>
      <c r="AA14" s="111" t="inlineStr">
        <is>
          <t>camphor</t>
        </is>
      </c>
      <c r="AB14" s="111" t="n">
        <v>152.24</v>
      </c>
      <c r="AC14" s="111" t="n">
        <v>0.969</v>
      </c>
    </row>
    <row r="15" ht="14.25" customHeight="1" s="112">
      <c r="A15" s="167" t="inlineStr">
        <is>
          <t>camphor</t>
        </is>
      </c>
      <c r="B15" s="167" t="inlineStr">
        <is>
          <t>DL-Camphor</t>
        </is>
      </c>
      <c r="C15" s="167" t="inlineStr">
        <is>
          <t>-</t>
        </is>
      </c>
      <c r="D15" s="167" t="inlineStr">
        <is>
          <t>76-22-2</t>
        </is>
      </c>
      <c r="E15" s="174" t="inlineStr">
        <is>
          <t>C10H16O</t>
        </is>
      </c>
      <c r="F15" s="167" t="inlineStr">
        <is>
          <t>CC1(C)C2CCC1(C)C(=O)C2</t>
        </is>
      </c>
      <c r="G15" s="168" t="n">
        <v>3.2</v>
      </c>
      <c r="H15" s="175" t="inlineStr">
        <is>
          <t>Sigma-Aldrich</t>
        </is>
      </c>
      <c r="I15" s="167" t="inlineStr">
        <is>
          <t>96.9% (GC)</t>
        </is>
      </c>
      <c r="J15" s="167" t="inlineStr">
        <is>
          <t>SDBB0718</t>
        </is>
      </c>
      <c r="K15" s="168" t="n">
        <v>250</v>
      </c>
      <c r="L15" s="167" t="inlineStr">
        <is>
          <t>g</t>
        </is>
      </c>
      <c r="M15" s="167" t="n">
        <v>152.24</v>
      </c>
      <c r="N15" s="167" t="n">
        <v>210</v>
      </c>
      <c r="O15" s="167" t="inlineStr">
        <is>
          <t>-</t>
        </is>
      </c>
      <c r="P15" s="173" t="n">
        <v>0.99</v>
      </c>
      <c r="Q15" s="167" t="n"/>
      <c r="R15" s="167" t="inlineStr">
        <is>
          <t>-</t>
        </is>
      </c>
      <c r="S15" s="167" t="inlineStr">
        <is>
          <t>-</t>
        </is>
      </c>
      <c r="T15" s="167" t="inlineStr">
        <is>
          <t>-</t>
        </is>
      </c>
      <c r="U15" s="167" t="inlineStr">
        <is>
          <t>-</t>
        </is>
      </c>
      <c r="V15" s="167" t="inlineStr">
        <is>
          <t>-</t>
        </is>
      </c>
      <c r="W15" s="167" t="inlineStr">
        <is>
          <t>Active</t>
        </is>
      </c>
      <c r="X15" s="167" t="n"/>
      <c r="AA15" s="111" t="inlineStr">
        <is>
          <t>geraniol</t>
        </is>
      </c>
      <c r="AB15" s="111" t="n">
        <v>154.25</v>
      </c>
      <c r="AC15" s="111" t="n">
        <v>0.989</v>
      </c>
    </row>
    <row r="16" ht="14.25" customHeight="1" s="112">
      <c r="A16" s="167" t="inlineStr">
        <is>
          <t>geraniol</t>
        </is>
      </c>
      <c r="B16" s="167" t="inlineStr">
        <is>
          <t>Geraniol</t>
        </is>
      </c>
      <c r="C16" s="167" t="inlineStr">
        <is>
          <t>-</t>
        </is>
      </c>
      <c r="D16" s="167" t="inlineStr">
        <is>
          <t>106-24-1</t>
        </is>
      </c>
      <c r="E16" s="174" t="inlineStr">
        <is>
          <t>C10H18O</t>
        </is>
      </c>
      <c r="F16" s="167" t="inlineStr">
        <is>
          <t>CC(C)=CCC/C(C)=C/CO</t>
        </is>
      </c>
      <c r="G16" s="168" t="n">
        <v>2.3</v>
      </c>
      <c r="H16" s="175" t="inlineStr">
        <is>
          <t>Sigma-Aldrich</t>
        </is>
      </c>
      <c r="I16" s="167" t="inlineStr">
        <is>
          <t>98.9% (GC)</t>
        </is>
      </c>
      <c r="J16" s="167" t="inlineStr">
        <is>
          <t>SHBP7700</t>
        </is>
      </c>
      <c r="K16" s="168" t="n">
        <v>700</v>
      </c>
      <c r="L16" s="167" t="inlineStr">
        <is>
          <t>g</t>
        </is>
      </c>
      <c r="M16" s="167" t="n">
        <v>154.25</v>
      </c>
      <c r="N16" s="167" t="n">
        <v>229</v>
      </c>
      <c r="O16" s="167" t="inlineStr">
        <is>
          <t>-</t>
        </is>
      </c>
      <c r="P16" s="167" t="n">
        <v>0.889</v>
      </c>
      <c r="Q16" s="167" t="n"/>
      <c r="R16" s="167" t="inlineStr">
        <is>
          <t>-</t>
        </is>
      </c>
      <c r="S16" s="167" t="inlineStr">
        <is>
          <t>-</t>
        </is>
      </c>
      <c r="T16" s="167" t="inlineStr">
        <is>
          <t>-</t>
        </is>
      </c>
      <c r="U16" s="167" t="inlineStr">
        <is>
          <t>-</t>
        </is>
      </c>
      <c r="V16" s="167" t="inlineStr">
        <is>
          <t>-</t>
        </is>
      </c>
      <c r="W16" s="167" t="inlineStr">
        <is>
          <t>Active</t>
        </is>
      </c>
      <c r="X16" s="167" t="n"/>
      <c r="AA16" s="111" t="inlineStr">
        <is>
          <t>carvacrol</t>
        </is>
      </c>
      <c r="AB16" s="111" t="n">
        <v>150.22</v>
      </c>
      <c r="AC16" s="111" t="n">
        <v>0.997</v>
      </c>
    </row>
    <row r="17" ht="14.25" customHeight="1" s="112">
      <c r="A17" s="167" t="inlineStr">
        <is>
          <t>carvacrol</t>
        </is>
      </c>
      <c r="B17" s="167" t="inlineStr">
        <is>
          <t>Carvacrol</t>
        </is>
      </c>
      <c r="C17" s="167" t="inlineStr">
        <is>
          <t>-</t>
        </is>
      </c>
      <c r="D17" s="167" t="inlineStr">
        <is>
          <t>499-75-2</t>
        </is>
      </c>
      <c r="E17" s="174" t="inlineStr">
        <is>
          <t>C10H14O</t>
        </is>
      </c>
      <c r="F17" s="167" t="inlineStr">
        <is>
          <t>Cc1ccc(C(C)C)cc1O</t>
        </is>
      </c>
      <c r="G17" s="168" t="n">
        <v>2.1</v>
      </c>
      <c r="H17" s="175" t="inlineStr">
        <is>
          <t>Sigma-Aldrich</t>
        </is>
      </c>
      <c r="I17" s="167" t="inlineStr">
        <is>
          <t>99.7% (GC)</t>
        </is>
      </c>
      <c r="J17" s="167" t="inlineStr">
        <is>
          <t>SHBQ9085</t>
        </is>
      </c>
      <c r="K17" s="168" t="inlineStr">
        <is>
          <t>400?</t>
        </is>
      </c>
      <c r="L17" s="167" t="inlineStr">
        <is>
          <t>mL</t>
        </is>
      </c>
      <c r="M17" s="167" t="n">
        <v>150.22</v>
      </c>
      <c r="N17" s="167" t="n">
        <v>239</v>
      </c>
      <c r="O17" s="167" t="inlineStr">
        <is>
          <t>-</t>
        </is>
      </c>
      <c r="P17" s="167" t="n">
        <v>0.977</v>
      </c>
      <c r="Q17" s="167" t="n"/>
      <c r="R17" s="167" t="inlineStr">
        <is>
          <t>-</t>
        </is>
      </c>
      <c r="S17" s="167" t="inlineStr">
        <is>
          <t>-</t>
        </is>
      </c>
      <c r="T17" s="167" t="inlineStr">
        <is>
          <t>-</t>
        </is>
      </c>
      <c r="U17" s="167" t="inlineStr">
        <is>
          <t>-</t>
        </is>
      </c>
      <c r="V17" s="167" t="inlineStr">
        <is>
          <t>-</t>
        </is>
      </c>
      <c r="W17" s="167" t="inlineStr">
        <is>
          <t>Active</t>
        </is>
      </c>
      <c r="X17" s="167" t="n"/>
      <c r="AA17" s="111" t="inlineStr">
        <is>
          <t>eugenol</t>
        </is>
      </c>
      <c r="AB17" s="111" t="n">
        <v>164.2</v>
      </c>
      <c r="AC17" s="111" t="n">
        <v>0.992</v>
      </c>
    </row>
    <row r="18" ht="14.25" customHeight="1" s="112">
      <c r="A18" s="167" t="inlineStr">
        <is>
          <t>eugenol</t>
        </is>
      </c>
      <c r="B18" s="167" t="inlineStr">
        <is>
          <t>Eugenol</t>
        </is>
      </c>
      <c r="C18" s="167" t="inlineStr">
        <is>
          <t>-</t>
        </is>
      </c>
      <c r="D18" s="167" t="inlineStr">
        <is>
          <t>97-53-0</t>
        </is>
      </c>
      <c r="E18" s="170" t="inlineStr">
        <is>
          <t>C10H12O2</t>
        </is>
      </c>
      <c r="F18" s="167" t="inlineStr">
        <is>
          <t>C=CCc1ccc(O)c(OC)c1</t>
        </is>
      </c>
      <c r="G18" s="168" t="n">
        <v>1.3</v>
      </c>
      <c r="H18" s="175" t="inlineStr">
        <is>
          <t>Sigma-Aldrich</t>
        </is>
      </c>
      <c r="I18" s="167" t="inlineStr">
        <is>
          <t>99.2% (GC)</t>
        </is>
      </c>
      <c r="J18" s="167" t="inlineStr">
        <is>
          <t>SHBM4053</t>
        </is>
      </c>
      <c r="K18" s="168" t="inlineStr">
        <is>
          <t>500?</t>
        </is>
      </c>
      <c r="L18" s="167" t="inlineStr">
        <is>
          <t>mL</t>
        </is>
      </c>
      <c r="M18" s="167" t="n">
        <v>164.2</v>
      </c>
      <c r="N18" s="167" t="n">
        <v>215</v>
      </c>
      <c r="O18" s="167" t="inlineStr">
        <is>
          <t>-</t>
        </is>
      </c>
      <c r="P18" s="173" t="n">
        <v>1.06</v>
      </c>
      <c r="Q18" s="167" t="n"/>
      <c r="R18" s="167" t="inlineStr">
        <is>
          <t>-</t>
        </is>
      </c>
      <c r="S18" s="167" t="inlineStr">
        <is>
          <t>-</t>
        </is>
      </c>
      <c r="T18" s="167" t="inlineStr">
        <is>
          <t>-</t>
        </is>
      </c>
      <c r="U18" s="167" t="inlineStr">
        <is>
          <t>-</t>
        </is>
      </c>
      <c r="V18" s="167" t="inlineStr">
        <is>
          <t>-</t>
        </is>
      </c>
      <c r="W18" s="167" t="inlineStr">
        <is>
          <t>Active</t>
        </is>
      </c>
      <c r="X18" s="167" t="n"/>
    </row>
    <row r="19" ht="14.25" customHeight="1" s="112">
      <c r="A19" s="176" t="inlineStr">
        <is>
          <t>h2o</t>
        </is>
      </c>
      <c r="B19" s="176" t="inlineStr">
        <is>
          <t>Water</t>
        </is>
      </c>
      <c r="C19" s="176" t="inlineStr">
        <is>
          <t>-</t>
        </is>
      </c>
      <c r="D19" s="176" t="inlineStr">
        <is>
          <t>-</t>
        </is>
      </c>
      <c r="E19" s="176" t="inlineStr">
        <is>
          <t>-</t>
        </is>
      </c>
      <c r="F19" s="177" t="n"/>
      <c r="G19" s="178" t="inlineStr">
        <is>
          <t>-</t>
        </is>
      </c>
      <c r="H19" s="176" t="inlineStr">
        <is>
          <t>-</t>
        </is>
      </c>
      <c r="I19" s="176" t="inlineStr">
        <is>
          <t>HPLC</t>
        </is>
      </c>
      <c r="J19" s="176" t="inlineStr">
        <is>
          <t>-</t>
        </is>
      </c>
      <c r="K19" s="179" t="inlineStr">
        <is>
          <t>-</t>
        </is>
      </c>
      <c r="L19" s="176" t="inlineStr">
        <is>
          <t>-</t>
        </is>
      </c>
      <c r="M19" s="176" t="n">
        <v>18.02</v>
      </c>
      <c r="N19" s="176" t="n">
        <v>100</v>
      </c>
      <c r="O19" s="176" t="inlineStr">
        <is>
          <t>-</t>
        </is>
      </c>
      <c r="P19" s="176" t="n"/>
      <c r="Q19" s="176" t="n"/>
      <c r="R19" s="176" t="inlineStr">
        <is>
          <t>-</t>
        </is>
      </c>
      <c r="S19" s="176" t="inlineStr">
        <is>
          <t>-</t>
        </is>
      </c>
      <c r="T19" s="176" t="inlineStr">
        <is>
          <t>-</t>
        </is>
      </c>
      <c r="U19" s="176" t="inlineStr">
        <is>
          <t>-</t>
        </is>
      </c>
      <c r="V19" s="176" t="inlineStr">
        <is>
          <t>-</t>
        </is>
      </c>
      <c r="W19" s="176" t="inlineStr">
        <is>
          <t>Active</t>
        </is>
      </c>
      <c r="X19" s="176" t="n"/>
    </row>
    <row r="20" ht="14.25" customHeight="1" s="112"/>
    <row r="21" ht="14.25" customHeight="1" s="112">
      <c r="A21" s="180" t="n"/>
      <c r="B21" s="111" t="inlineStr">
        <is>
          <t>Aroma (soluto)</t>
        </is>
      </c>
    </row>
    <row r="22" ht="15" customHeight="1" s="112">
      <c r="A22" s="181" t="n"/>
      <c r="B22" s="182" t="inlineStr">
        <is>
          <t>Solventes</t>
        </is>
      </c>
    </row>
    <row r="23" ht="14.25" customHeight="1" s="112">
      <c r="A23" s="183" t="n"/>
      <c r="B23" s="111" t="inlineStr">
        <is>
          <t>DESs</t>
        </is>
      </c>
    </row>
    <row r="24" ht="15" customHeight="1" s="112">
      <c r="A24" s="184" t="n"/>
      <c r="B24" s="182" t="inlineStr">
        <is>
          <t>Agua (diluyente)</t>
        </is>
      </c>
    </row>
  </sheetData>
  <printOptions horizontalCentered="0" verticalCentered="0" headings="0" gridLines="0" gridLinesSet="1"/>
  <pageMargins left="0.7" right="0.7" top="1.14375" bottom="1.143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FC000"/>
    <outlinePr summaryBelow="1" summaryRight="1"/>
    <pageSetUpPr fitToPage="1"/>
  </sheetPr>
  <dimension ref="B2:N28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B17" activeCellId="0" sqref="B17"/>
    </sheetView>
  </sheetViews>
  <sheetFormatPr baseColWidth="8" defaultColWidth="8.50390625" defaultRowHeight="12.75" customHeight="0" zeroHeight="0" outlineLevelRow="0"/>
  <cols>
    <col width="9" customWidth="1" style="111" min="1" max="1"/>
    <col width="10" customWidth="1" style="111" min="2" max="3"/>
    <col width="9" customWidth="1" style="111" min="4" max="4"/>
    <col width="11" customWidth="1" style="111" min="5" max="5"/>
    <col width="7.25" customWidth="1" style="111" min="6" max="6"/>
    <col width="14" customWidth="1" style="111" min="7" max="7"/>
    <col width="10" customWidth="1" style="111" min="8" max="9"/>
    <col width="11" customWidth="1" style="111" min="10" max="10"/>
    <col width="8" customWidth="1" style="111" min="11" max="11"/>
    <col width="14" customWidth="1" style="111" min="12" max="12"/>
    <col width="12" customWidth="1" style="111" min="13" max="13"/>
  </cols>
  <sheetData>
    <row r="1" ht="14.25" customHeight="1" s="112"/>
    <row r="2" ht="14.25" customHeight="1" s="112">
      <c r="B2" s="185" t="inlineStr">
        <is>
          <t>LLE con agua</t>
        </is>
      </c>
      <c r="C2" s="186" t="inlineStr">
        <is>
          <t>ThyCar</t>
        </is>
      </c>
      <c r="D2" s="185" t="inlineStr">
        <is>
          <t>ThyGer</t>
        </is>
      </c>
      <c r="E2" s="185" t="inlineStr">
        <is>
          <t>ThyCarvon</t>
        </is>
      </c>
      <c r="F2" s="186" t="inlineStr">
        <is>
          <t>ThyEug</t>
        </is>
      </c>
      <c r="G2" s="187" t="inlineStr">
        <is>
          <t>CamCar</t>
        </is>
      </c>
      <c r="H2" s="185" t="inlineStr">
        <is>
          <t>CamGer</t>
        </is>
      </c>
      <c r="I2" s="185" t="inlineStr">
        <is>
          <t>CamCarvac</t>
        </is>
      </c>
      <c r="J2" s="185" t="inlineStr">
        <is>
          <t>CamEug</t>
        </is>
      </c>
    </row>
    <row r="3" ht="15" customHeight="1" s="112">
      <c r="B3" s="188" t="inlineStr">
        <is>
          <t>b-ionona</t>
        </is>
      </c>
      <c r="C3" s="189" t="n"/>
      <c r="D3" s="189" t="n"/>
      <c r="E3" s="189" t="n"/>
      <c r="F3" s="189" t="n"/>
      <c r="G3" s="190" t="n"/>
      <c r="H3" s="189" t="n"/>
      <c r="I3" s="189" t="n"/>
      <c r="J3" s="189" t="n"/>
      <c r="L3" s="111" t="inlineStr">
        <is>
          <t>HBA</t>
        </is>
      </c>
      <c r="M3" s="111" t="inlineStr">
        <is>
          <t>HBD</t>
        </is>
      </c>
    </row>
    <row r="4" ht="14.25" customHeight="1" s="112">
      <c r="B4" s="185" t="inlineStr">
        <is>
          <t>2-phenylethanol</t>
        </is>
      </c>
      <c r="C4" s="185" t="n"/>
      <c r="D4" s="185" t="n"/>
      <c r="E4" s="185" t="n"/>
      <c r="F4" s="185" t="n"/>
      <c r="G4" s="187" t="n"/>
      <c r="H4" s="185" t="n"/>
      <c r="I4" s="185" t="n"/>
      <c r="J4" s="185" t="n"/>
      <c r="K4" s="111" t="n">
        <v>1</v>
      </c>
      <c r="L4" s="111" t="inlineStr">
        <is>
          <t>Thymol</t>
        </is>
      </c>
      <c r="M4" s="111" t="inlineStr">
        <is>
          <t>Carvone</t>
        </is>
      </c>
      <c r="N4" s="111" t="n">
        <v>1</v>
      </c>
    </row>
    <row r="5" ht="15" customHeight="1" s="112">
      <c r="B5" s="188" t="inlineStr">
        <is>
          <t>g-decalactone</t>
        </is>
      </c>
      <c r="C5" s="189" t="n"/>
      <c r="D5" s="189" t="n"/>
      <c r="E5" s="189" t="n"/>
      <c r="F5" s="189" t="n"/>
      <c r="G5" s="190" t="n"/>
      <c r="H5" s="189" t="n"/>
      <c r="I5" s="189" t="n"/>
      <c r="J5" s="189" t="n"/>
      <c r="K5" s="111" t="n">
        <v>2</v>
      </c>
      <c r="L5" s="111" t="inlineStr">
        <is>
          <t>Camphor</t>
        </is>
      </c>
      <c r="M5" s="111" t="inlineStr">
        <is>
          <t>Geraniol</t>
        </is>
      </c>
      <c r="N5" s="111" t="n">
        <v>2</v>
      </c>
    </row>
    <row r="6" ht="14.25" customHeight="1" s="112">
      <c r="B6" s="182" t="n"/>
      <c r="M6" s="111" t="inlineStr">
        <is>
          <t>Carvacrol</t>
        </is>
      </c>
      <c r="N6" s="111" t="n">
        <v>3</v>
      </c>
    </row>
    <row r="7" ht="14.25" customHeight="1" s="112">
      <c r="B7" s="185" t="inlineStr">
        <is>
          <t>VLE</t>
        </is>
      </c>
      <c r="C7" s="186" t="inlineStr">
        <is>
          <t>ThyCar</t>
        </is>
      </c>
      <c r="D7" s="185" t="inlineStr">
        <is>
          <t>ThyGer</t>
        </is>
      </c>
      <c r="E7" s="185" t="inlineStr">
        <is>
          <t>ThyCarvon</t>
        </is>
      </c>
      <c r="F7" s="186" t="inlineStr">
        <is>
          <t>ThyEug</t>
        </is>
      </c>
      <c r="G7" s="187" t="inlineStr">
        <is>
          <t>CamCar</t>
        </is>
      </c>
      <c r="H7" s="185" t="inlineStr">
        <is>
          <t>CamGer</t>
        </is>
      </c>
      <c r="I7" s="185" t="inlineStr">
        <is>
          <t>CamCarvac</t>
        </is>
      </c>
      <c r="J7" s="185" t="inlineStr">
        <is>
          <t>CamEug</t>
        </is>
      </c>
      <c r="M7" s="111" t="inlineStr">
        <is>
          <t>Eugenol</t>
        </is>
      </c>
      <c r="N7" s="111" t="n">
        <v>4</v>
      </c>
    </row>
    <row r="8" ht="15" customHeight="1" s="112">
      <c r="B8" s="188" t="inlineStr">
        <is>
          <t>b-ionona</t>
        </is>
      </c>
      <c r="C8" s="189" t="n"/>
      <c r="D8" s="189" t="n"/>
      <c r="E8" s="189" t="n"/>
      <c r="F8" s="189" t="n"/>
      <c r="G8" s="190" t="n"/>
      <c r="H8" s="189" t="n"/>
      <c r="I8" s="189" t="n"/>
      <c r="J8" s="189" t="n"/>
    </row>
    <row r="9" ht="14.25" customHeight="1" s="112">
      <c r="B9" s="185" t="inlineStr">
        <is>
          <t>2-phenylethanol</t>
        </is>
      </c>
      <c r="C9" s="185" t="n"/>
      <c r="D9" s="185" t="n"/>
      <c r="E9" s="185" t="n"/>
      <c r="F9" s="185" t="n"/>
      <c r="G9" s="187" t="n"/>
      <c r="H9" s="185" t="n"/>
      <c r="I9" s="185" t="n"/>
      <c r="J9" s="185" t="n"/>
    </row>
    <row r="10" ht="15" customHeight="1" s="112">
      <c r="B10" s="188" t="inlineStr">
        <is>
          <t>g-decalactone</t>
        </is>
      </c>
      <c r="C10" s="189" t="n"/>
      <c r="D10" s="189" t="n"/>
      <c r="E10" s="189" t="n"/>
      <c r="F10" s="189" t="n"/>
      <c r="G10" s="190" t="n"/>
      <c r="H10" s="189" t="n"/>
      <c r="I10" s="189" t="n"/>
      <c r="J10" s="189" t="n"/>
    </row>
    <row r="11" ht="14.25" customHeight="1" s="112"/>
    <row r="12" ht="14.25" customHeight="1" s="112">
      <c r="C12" s="111" t="inlineStr">
        <is>
          <t>Falta fleck</t>
        </is>
      </c>
    </row>
    <row r="13" ht="15" customHeight="1" s="112"/>
    <row r="14" ht="20.25" customHeight="1" s="112">
      <c r="B14" s="123" t="inlineStr">
        <is>
          <t>PREPARACIÓN DES 10.00 g (1:1 molar)</t>
        </is>
      </c>
      <c r="C14" s="191" t="n"/>
      <c r="D14" s="191" t="n"/>
      <c r="E14" s="191" t="n"/>
      <c r="F14" s="191" t="n"/>
      <c r="G14" s="191" t="n"/>
      <c r="H14" s="191" t="n"/>
      <c r="I14" s="191" t="n"/>
      <c r="J14" s="191" t="n"/>
      <c r="K14" s="191" t="n"/>
      <c r="L14" s="191" t="n"/>
      <c r="M14" s="191" t="n"/>
      <c r="N14" s="191" t="n"/>
    </row>
    <row r="15" ht="20.25" customHeight="1" s="112">
      <c r="B15" s="191" t="inlineStr">
        <is>
          <t>m_total:</t>
        </is>
      </c>
      <c r="C15" s="126" t="n">
        <v>10</v>
      </c>
      <c r="D15" s="191" t="inlineStr">
        <is>
          <t>g</t>
        </is>
      </c>
      <c r="E15" s="191" t="n"/>
      <c r="F15" s="191" t="n"/>
      <c r="G15" s="191" t="n"/>
      <c r="H15" s="191" t="n"/>
      <c r="I15" s="191" t="n"/>
      <c r="J15" s="191" t="n"/>
      <c r="K15" s="191" t="n"/>
      <c r="L15" s="191" t="n"/>
      <c r="M15" s="191" t="n"/>
      <c r="N15" s="191" t="n"/>
    </row>
    <row r="16" ht="44.25" customHeight="1" s="112">
      <c r="B16" s="192" t="inlineStr">
        <is>
          <t>DES</t>
        </is>
      </c>
      <c r="C16" s="192" t="inlineStr">
        <is>
          <t>HBA</t>
        </is>
      </c>
      <c r="D16" s="192" t="inlineStr">
        <is>
          <t>MW_HBA</t>
        </is>
      </c>
      <c r="E16" s="192" t="inlineStr">
        <is>
          <t>Pureza_HBA</t>
        </is>
      </c>
      <c r="F16" s="192" t="inlineStr">
        <is>
          <t>m_HBA target (g)</t>
        </is>
      </c>
      <c r="G16" s="192" t="inlineStr">
        <is>
          <t>m_HBA exp (g)</t>
        </is>
      </c>
      <c r="H16" s="192" t="inlineStr">
        <is>
          <t>HBD</t>
        </is>
      </c>
      <c r="I16" s="192" t="inlineStr">
        <is>
          <t>MW_HBD</t>
        </is>
      </c>
      <c r="J16" s="192" t="inlineStr">
        <is>
          <t>Pureza_HBD</t>
        </is>
      </c>
      <c r="K16" s="192" t="inlineStr">
        <is>
          <t>m_HBD target (g)</t>
        </is>
      </c>
      <c r="L16" s="192" t="inlineStr">
        <is>
          <t>m_HBD exp (g)</t>
        </is>
      </c>
      <c r="M16" s="192" t="inlineStr">
        <is>
          <t>n_HBA/n_HBD</t>
        </is>
      </c>
      <c r="N16" s="191" t="n"/>
    </row>
    <row r="17" ht="30" customHeight="1" s="112">
      <c r="B17" s="193" t="inlineStr">
        <is>
          <t>ThyCar</t>
        </is>
      </c>
      <c r="C17" s="193" t="inlineStr">
        <is>
          <t>thymol</t>
        </is>
      </c>
      <c r="D17" s="194">
        <f>VLOOKUP(C17,Componentes!$AA$3:$AC$17,2,FALSE())</f>
        <v/>
      </c>
      <c r="E17" s="195">
        <f>VLOOKUP(C17,Componentes!$AA$3:$AC$17,3,FALSE())</f>
        <v/>
      </c>
      <c r="F17" s="196">
        <f>$C$15*D17/(D17+I17)/E17</f>
        <v/>
      </c>
      <c r="G17" s="197" t="n">
        <v>5.0064</v>
      </c>
      <c r="H17" s="193" t="inlineStr">
        <is>
          <t>carvone</t>
        </is>
      </c>
      <c r="I17" s="194">
        <f>VLOOKUP(H17,Componentes!$AA$3:$AC$17,2,FALSE())</f>
        <v/>
      </c>
      <c r="J17" s="195">
        <f>VLOOKUP(H17,Componentes!$AA$3:$AC$17,3,FALSE())</f>
        <v/>
      </c>
      <c r="K17" s="196">
        <f>$C$15*I17/(D17+I17)/J17</f>
        <v/>
      </c>
      <c r="L17" s="197" t="n">
        <v>5.0469</v>
      </c>
      <c r="M17" s="198">
        <f>IF(AND(G17&lt;&gt;"",L17&lt;&gt;""),(G17*E17/D17)/(L17*J17/I17),"")</f>
        <v/>
      </c>
      <c r="N17" s="191" t="n"/>
    </row>
    <row r="18" ht="30" customHeight="1" s="112">
      <c r="B18" s="193" t="inlineStr">
        <is>
          <t>ThyGer</t>
        </is>
      </c>
      <c r="C18" s="193" t="inlineStr">
        <is>
          <t>thymol</t>
        </is>
      </c>
      <c r="D18" s="194">
        <f>VLOOKUP(C18,Componentes!$AA$3:$AC$17,2,FALSE())</f>
        <v/>
      </c>
      <c r="E18" s="195">
        <f>VLOOKUP(C18,Componentes!$AA$3:$AC$17,3,FALSE())</f>
        <v/>
      </c>
      <c r="F18" s="196">
        <f>$C$15*D18/(D18+I18)/E18</f>
        <v/>
      </c>
      <c r="G18" s="197" t="n">
        <v>4.95</v>
      </c>
      <c r="H18" s="193" t="inlineStr">
        <is>
          <t>geraniol</t>
        </is>
      </c>
      <c r="I18" s="194">
        <f>VLOOKUP(H18,Componentes!$AA$3:$AC$17,2,FALSE())</f>
        <v/>
      </c>
      <c r="J18" s="195">
        <f>VLOOKUP(H18,Componentes!$AA$3:$AC$17,3,FALSE())</f>
        <v/>
      </c>
      <c r="K18" s="196">
        <f>$C$15*I18/(D18+I18)/J18</f>
        <v/>
      </c>
      <c r="L18" s="197" t="n">
        <v>5.1232</v>
      </c>
      <c r="M18" s="198">
        <f>IF(AND(G18&lt;&gt;"",L18&lt;&gt;""),(G18*E18/D18)/(L18*J18/I18),"")</f>
        <v/>
      </c>
      <c r="N18" s="191" t="n"/>
    </row>
    <row r="19" ht="30" customHeight="1" s="112">
      <c r="B19" s="193" t="inlineStr">
        <is>
          <t>ThyCarvac</t>
        </is>
      </c>
      <c r="C19" s="193" t="inlineStr">
        <is>
          <t>thymol</t>
        </is>
      </c>
      <c r="D19" s="194">
        <f>VLOOKUP(C19,Componentes!$AA$3:$AC$17,2,FALSE())</f>
        <v/>
      </c>
      <c r="E19" s="195">
        <f>VLOOKUP(C19,Componentes!$AA$3:$AC$17,3,FALSE())</f>
        <v/>
      </c>
      <c r="F19" s="196">
        <f>$C$15*D19/(D19+I19)/E19</f>
        <v/>
      </c>
      <c r="G19" s="197" t="n">
        <v>5.0063</v>
      </c>
      <c r="H19" s="193" t="inlineStr">
        <is>
          <t>carvacrol</t>
        </is>
      </c>
      <c r="I19" s="194">
        <f>VLOOKUP(H19,Componentes!$AA$3:$AC$17,2,FALSE())</f>
        <v/>
      </c>
      <c r="J19" s="195">
        <f>VLOOKUP(H19,Componentes!$AA$3:$AC$17,3,FALSE())</f>
        <v/>
      </c>
      <c r="K19" s="196">
        <f>$C$15*I19/(D19+I19)/J19</f>
        <v/>
      </c>
      <c r="L19" s="197" t="n">
        <v>5.0156</v>
      </c>
      <c r="M19" s="198">
        <f>IF(AND(G19&lt;&gt;"",L19&lt;&gt;""),(G19*E19/D19)/(L19*J19/I19),"")</f>
        <v/>
      </c>
      <c r="N19" s="191" t="n"/>
    </row>
    <row r="20" ht="30" customHeight="1" s="112">
      <c r="B20" s="193" t="inlineStr">
        <is>
          <t>ThyEug</t>
        </is>
      </c>
      <c r="C20" s="193" t="inlineStr">
        <is>
          <t>thymol</t>
        </is>
      </c>
      <c r="D20" s="194">
        <f>VLOOKUP(C20,Componentes!$AA$3:$AC$17,2,FALSE())</f>
        <v/>
      </c>
      <c r="E20" s="195">
        <f>VLOOKUP(C20,Componentes!$AA$3:$AC$17,3,FALSE())</f>
        <v/>
      </c>
      <c r="F20" s="196">
        <f>$C$15*D20/(D20+I20)/E20</f>
        <v/>
      </c>
      <c r="G20" s="197" t="n">
        <v>4.7931</v>
      </c>
      <c r="H20" s="193" t="inlineStr">
        <is>
          <t>eugenol</t>
        </is>
      </c>
      <c r="I20" s="194">
        <f>VLOOKUP(H20,Componentes!$AA$3:$AC$17,2,FALSE())</f>
        <v/>
      </c>
      <c r="J20" s="195">
        <f>VLOOKUP(H20,Componentes!$AA$3:$AC$17,3,FALSE())</f>
        <v/>
      </c>
      <c r="K20" s="196">
        <f>$C$15*I20/(D20+I20)/J20</f>
        <v/>
      </c>
      <c r="L20" s="197" t="n">
        <v>5.2668</v>
      </c>
      <c r="M20" s="198">
        <f>IF(AND(G20&lt;&gt;"",L20&lt;&gt;""),(G20*E20/D20)/(L20*J20/I20),"")</f>
        <v/>
      </c>
      <c r="N20" s="191" t="n"/>
    </row>
    <row r="21" ht="30" customHeight="1" s="112">
      <c r="B21" s="193" t="inlineStr">
        <is>
          <t>ThyCam</t>
        </is>
      </c>
      <c r="C21" s="193" t="inlineStr">
        <is>
          <t>thymol</t>
        </is>
      </c>
      <c r="D21" s="194">
        <f>VLOOKUP(C21,Componentes!$AA$3:$AC$17,2,FALSE())</f>
        <v/>
      </c>
      <c r="E21" s="195">
        <f>VLOOKUP(C21,Componentes!$AA$3:$AC$17,3,FALSE())</f>
        <v/>
      </c>
      <c r="F21" s="196">
        <f>$C$15*D21/(D21+I21)/E21</f>
        <v/>
      </c>
      <c r="G21" s="197">
        <f>1.6711+1.6663+1.6953</f>
        <v/>
      </c>
      <c r="H21" s="193" t="inlineStr">
        <is>
          <t>camphor</t>
        </is>
      </c>
      <c r="I21" s="194">
        <f>VLOOKUP(H21,Componentes!$AA$3:$AC$17,2,FALSE())</f>
        <v/>
      </c>
      <c r="J21" s="195">
        <f>VLOOKUP(H21,Componentes!$AA$3:$AC$17,3,FALSE())</f>
        <v/>
      </c>
      <c r="K21" s="196">
        <f>$C$15*I21/(D21+I21)/J21</f>
        <v/>
      </c>
      <c r="L21" s="197">
        <f>1.7344+1.7354+1.7709</f>
        <v/>
      </c>
      <c r="M21" s="198">
        <f>IF(AND(G21&lt;&gt;"",L21&lt;&gt;""),(G21*E21/D21)/(L21*J21/I21),"")</f>
        <v/>
      </c>
      <c r="N21" s="191" t="n"/>
    </row>
    <row r="22" ht="30" customHeight="1" s="112">
      <c r="B22" s="193" t="inlineStr">
        <is>
          <t>CamCar</t>
        </is>
      </c>
      <c r="C22" s="193" t="inlineStr">
        <is>
          <t>camphor</t>
        </is>
      </c>
      <c r="D22" s="194">
        <f>VLOOKUP(C22,Componentes!$AA$3:$AC$17,2,FALSE())</f>
        <v/>
      </c>
      <c r="E22" s="195">
        <f>VLOOKUP(C22,Componentes!$AA$3:$AC$17,3,FALSE())</f>
        <v/>
      </c>
      <c r="F22" s="196">
        <f>$C$15*D22/(D22+I22)/E22</f>
        <v/>
      </c>
      <c r="G22" s="197" t="n">
        <v>5.2014</v>
      </c>
      <c r="H22" s="193" t="inlineStr">
        <is>
          <t>carvone</t>
        </is>
      </c>
      <c r="I22" s="194">
        <f>VLOOKUP(H22,Componentes!$AA$3:$AC$17,2,FALSE())</f>
        <v/>
      </c>
      <c r="J22" s="195">
        <f>VLOOKUP(H22,Componentes!$AA$3:$AC$17,3,FALSE())</f>
        <v/>
      </c>
      <c r="K22" s="196">
        <f>$C$15*I22/(D22+I22)/J22</f>
        <v/>
      </c>
      <c r="L22" s="197" t="n">
        <v>5.0074</v>
      </c>
      <c r="M22" s="198">
        <f>IF(AND(G22&lt;&gt;"",L22&lt;&gt;""),(G22*E22/D22)/(L22*J22/I22),"")</f>
        <v/>
      </c>
      <c r="N22" s="191" t="n"/>
    </row>
    <row r="23" ht="30" customHeight="1" s="112">
      <c r="B23" s="193" t="inlineStr">
        <is>
          <t>CamGer</t>
        </is>
      </c>
      <c r="C23" s="193" t="inlineStr">
        <is>
          <t>camphor</t>
        </is>
      </c>
      <c r="D23" s="194">
        <f>VLOOKUP(C23,Componentes!$AA$3:$AC$17,2,FALSE())</f>
        <v/>
      </c>
      <c r="E23" s="195">
        <f>VLOOKUP(C23,Componentes!$AA$3:$AC$17,3,FALSE())</f>
        <v/>
      </c>
      <c r="F23" s="196">
        <f>$C$15*D23/(D23+I23)/E23</f>
        <v/>
      </c>
      <c r="G23" s="197" t="n">
        <v>5.1236</v>
      </c>
      <c r="H23" s="193" t="inlineStr">
        <is>
          <t>geraniol</t>
        </is>
      </c>
      <c r="I23" s="194">
        <f>VLOOKUP(H23,Componentes!$AA$3:$AC$17,2,FALSE())</f>
        <v/>
      </c>
      <c r="J23" s="195">
        <f>VLOOKUP(H23,Componentes!$AA$3:$AC$17,3,FALSE())</f>
        <v/>
      </c>
      <c r="K23" s="196">
        <f>$C$15*I23/(D23+I23)/J23</f>
        <v/>
      </c>
      <c r="L23" s="197" t="n">
        <v>5.084</v>
      </c>
      <c r="M23" s="198">
        <f>IF(AND(G23&lt;&gt;"",L23&lt;&gt;""),(G23*E23/D23)/(L23*J23/I23),"")</f>
        <v/>
      </c>
      <c r="N23" s="191" t="n"/>
    </row>
    <row r="24" ht="30" customHeight="1" s="112">
      <c r="B24" s="193" t="inlineStr">
        <is>
          <t>CamCarvac</t>
        </is>
      </c>
      <c r="C24" s="193" t="inlineStr">
        <is>
          <t>camphor</t>
        </is>
      </c>
      <c r="D24" s="194">
        <f>VLOOKUP(C24,Componentes!$AA$3:$AC$17,2,FALSE())</f>
        <v/>
      </c>
      <c r="E24" s="195">
        <f>VLOOKUP(C24,Componentes!$AA$3:$AC$17,3,FALSE())</f>
        <v/>
      </c>
      <c r="F24" s="196">
        <f>$C$15*D24/(D24+I24)/E24</f>
        <v/>
      </c>
      <c r="G24" s="197" t="n">
        <v>5.1992</v>
      </c>
      <c r="H24" s="193" t="inlineStr">
        <is>
          <t>carvacrol</t>
        </is>
      </c>
      <c r="I24" s="194">
        <f>VLOOKUP(H24,Componentes!$AA$3:$AC$17,2,FALSE())</f>
        <v/>
      </c>
      <c r="J24" s="195">
        <f>VLOOKUP(H24,Componentes!$AA$3:$AC$17,3,FALSE())</f>
        <v/>
      </c>
      <c r="K24" s="196">
        <f>$C$15*I24/(D24+I24)/J24</f>
        <v/>
      </c>
      <c r="L24" s="197" t="n">
        <v>4.9816</v>
      </c>
      <c r="M24" s="198">
        <f>IF(AND(G24&lt;&gt;"",L24&lt;&gt;""),(G24*E24/D24)/(L24*J24/I24),"")</f>
        <v/>
      </c>
      <c r="N24" s="191" t="n"/>
    </row>
    <row r="25" ht="30" customHeight="1" s="112">
      <c r="B25" s="193" t="inlineStr">
        <is>
          <t>CamEug</t>
        </is>
      </c>
      <c r="C25" s="193" t="inlineStr">
        <is>
          <t>camphor</t>
        </is>
      </c>
      <c r="D25" s="194">
        <f>VLOOKUP(C25,Componentes!$AA$3:$AC$17,2,FALSE())</f>
        <v/>
      </c>
      <c r="E25" s="195">
        <f>VLOOKUP(C25,Componentes!$AA$3:$AC$17,3,FALSE())</f>
        <v/>
      </c>
      <c r="F25" s="196">
        <f>$C$15*D25/(D25+I25)/E25</f>
        <v/>
      </c>
      <c r="G25" s="197" t="n">
        <v>4.9655</v>
      </c>
      <c r="H25" s="193" t="inlineStr">
        <is>
          <t>eugenol</t>
        </is>
      </c>
      <c r="I25" s="194">
        <f>VLOOKUP(H25,Componentes!$AA$3:$AC$17,2,FALSE())</f>
        <v/>
      </c>
      <c r="J25" s="195">
        <f>VLOOKUP(H25,Componentes!$AA$3:$AC$17,3,FALSE())</f>
        <v/>
      </c>
      <c r="K25" s="196">
        <f>$C$15*I25/(D25+I25)/J25</f>
        <v/>
      </c>
      <c r="L25" s="197" t="n">
        <v>5.2307</v>
      </c>
      <c r="M25" s="198">
        <f>IF(AND(G25&lt;&gt;"",L25&lt;&gt;""),(G25*E25/D25)/(L25*J25/I25),"")</f>
        <v/>
      </c>
      <c r="N25" s="191" t="n"/>
    </row>
    <row r="26" ht="20.25" customHeight="1" s="112">
      <c r="B26" s="191" t="n"/>
      <c r="C26" s="191" t="n"/>
      <c r="D26" s="191" t="n"/>
      <c r="E26" s="191" t="n"/>
      <c r="F26" s="191" t="n"/>
      <c r="G26" s="191" t="n"/>
      <c r="H26" s="191" t="n"/>
      <c r="I26" s="191" t="n"/>
      <c r="J26" s="191" t="n"/>
      <c r="K26" s="191" t="n"/>
      <c r="L26" s="191" t="n"/>
      <c r="M26" s="191" t="n"/>
      <c r="N26" s="191" t="n"/>
    </row>
    <row r="27" ht="20.25" customHeight="1" s="112">
      <c r="B27" s="199" t="inlineStr">
        <is>
          <t>Amarillo: ingreso experimental</t>
        </is>
      </c>
      <c r="C27" s="191" t="n"/>
      <c r="D27" s="191" t="n"/>
      <c r="E27" s="199" t="inlineStr">
        <is>
          <t>Verde: calculado desde Componentes</t>
        </is>
      </c>
      <c r="F27" s="191" t="n"/>
      <c r="G27" s="191" t="n"/>
      <c r="H27" s="191" t="n"/>
      <c r="I27" s="191" t="n"/>
      <c r="J27" s="191" t="n"/>
      <c r="K27" s="191" t="n"/>
      <c r="L27" s="191" t="n"/>
      <c r="M27" s="191" t="n"/>
      <c r="N27" s="191" t="n"/>
    </row>
    <row r="28" ht="12.75" customHeight="1" s="112">
      <c r="B28" s="191" t="n"/>
      <c r="C28" s="191" t="n"/>
      <c r="D28" s="191" t="n"/>
      <c r="E28" s="191" t="n"/>
      <c r="F28" s="191" t="n"/>
      <c r="G28" s="191" t="n"/>
      <c r="H28" s="191" t="n"/>
      <c r="I28" s="191" t="n"/>
      <c r="J28" s="191" t="n"/>
      <c r="K28" s="191" t="n"/>
      <c r="L28" s="191" t="n"/>
      <c r="M28" s="191" t="n"/>
      <c r="N28" s="191" t="n"/>
    </row>
  </sheetData>
  <printOptions horizontalCentered="1" verticalCentered="0" headings="0" gridLines="0" gridLinesSet="1"/>
  <pageMargins left="0.7" right="0.7" top="1.14375" bottom="1.143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63"/>
  <sheetViews>
    <sheetView showFormulas="0" showGridLines="1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K11" activeCellId="0" sqref="K11"/>
    </sheetView>
  </sheetViews>
  <sheetFormatPr baseColWidth="8" defaultColWidth="8.54296875" defaultRowHeight="15" customHeight="0" zeroHeight="0" outlineLevelRow="0"/>
  <cols>
    <col width="5" customWidth="1" style="111" min="1" max="1"/>
    <col width="12" customWidth="1" style="111" min="2" max="2"/>
    <col width="10" customWidth="1" style="111" min="3" max="4"/>
    <col width="7" customWidth="1" style="111" min="5" max="5"/>
    <col width="5" customWidth="1" style="111" min="6" max="6"/>
    <col width="12" customWidth="1" style="111" min="7" max="10"/>
    <col width="14" customWidth="1" style="111" min="11" max="14"/>
  </cols>
  <sheetData>
    <row r="1" ht="15" customHeight="1" s="112">
      <c r="A1" s="200" t="inlineStr">
        <is>
          <t>LLE Ternario: 2-phenylethanol + DES + Water</t>
        </is>
      </c>
    </row>
    <row r="2" ht="15" customHeight="1" s="112">
      <c r="A2" s="113" t="inlineStr">
        <is>
          <t>Target mass (g):</t>
        </is>
      </c>
      <c r="B2" s="114" t="n">
        <v>7</v>
      </c>
      <c r="C2" s="115" t="inlineStr">
        <is>
          <t>← change here to rescale all masses</t>
        </is>
      </c>
    </row>
    <row r="3" ht="15" customHeight="1" s="112">
      <c r="A3" s="115" t="inlineStr">
        <is>
          <t>Yellow = paste z (mass fracs) from software  |  Green = auto-calculated</t>
        </is>
      </c>
    </row>
    <row r="5" ht="15" customHeight="1" s="112">
      <c r="A5" s="117" t="inlineStr">
        <is>
          <t>#</t>
        </is>
      </c>
      <c r="B5" s="117" t="inlineStr">
        <is>
          <t>DES</t>
        </is>
      </c>
      <c r="C5" s="117" t="inlineStr">
        <is>
          <t>HBA</t>
        </is>
      </c>
      <c r="D5" s="117" t="inlineStr">
        <is>
          <t>HBD</t>
        </is>
      </c>
      <c r="E5" s="117" t="inlineStr">
        <is>
          <t>Ratio</t>
        </is>
      </c>
      <c r="F5" s="117" t="inlineStr">
        <is>
          <t>TL#</t>
        </is>
      </c>
      <c r="G5" s="117" t="inlineStr">
        <is>
          <t>z_aroma</t>
        </is>
      </c>
      <c r="H5" s="117" t="inlineStr">
        <is>
          <t>z_DES</t>
        </is>
      </c>
      <c r="I5" s="117" t="inlineStr">
        <is>
          <t>z_water</t>
        </is>
      </c>
      <c r="J5" s="117" t="inlineStr">
        <is>
          <t>Σz (check)</t>
        </is>
      </c>
      <c r="K5" s="117" t="inlineStr">
        <is>
          <t>m_aroma (g)</t>
        </is>
      </c>
      <c r="L5" s="117" t="inlineStr">
        <is>
          <t>m_DES (g)</t>
        </is>
      </c>
      <c r="M5" s="117" t="inlineStr">
        <is>
          <t>m_water (g)</t>
        </is>
      </c>
      <c r="N5" s="117" t="inlineStr">
        <is>
          <t>m_total (g)</t>
        </is>
      </c>
    </row>
    <row r="6" ht="15" customHeight="1" s="112">
      <c r="A6" s="119" t="n">
        <v>1</v>
      </c>
      <c r="B6" s="118" t="inlineStr">
        <is>
          <t>ThyCar</t>
        </is>
      </c>
      <c r="C6" s="119" t="inlineStr">
        <is>
          <t>Thymol</t>
        </is>
      </c>
      <c r="D6" s="119" t="inlineStr">
        <is>
          <t>Carvone</t>
        </is>
      </c>
      <c r="E6" s="119" t="inlineStr">
        <is>
          <t>1:1</t>
        </is>
      </c>
      <c r="F6" s="119" t="n">
        <v>1</v>
      </c>
      <c r="G6" s="120" t="n">
        <v>0.02048</v>
      </c>
      <c r="H6" s="120" t="n">
        <v>0.47645</v>
      </c>
      <c r="I6" s="120" t="n">
        <v>0.50307</v>
      </c>
      <c r="J6" s="121">
        <f>IF(G6="","",G6+H6+I6)</f>
        <v/>
      </c>
      <c r="K6" s="121">
        <f>IF(G6="","",G6*$B$2)</f>
        <v/>
      </c>
      <c r="L6" s="121">
        <f>IF(H6="","",H6*$B$2)</f>
        <v/>
      </c>
      <c r="M6" s="121">
        <f>IF(I6="","",I6*$B$2)</f>
        <v/>
      </c>
      <c r="N6" s="121">
        <f>IF(K6="","",K6+L6+M6)</f>
        <v/>
      </c>
    </row>
    <row r="7" ht="15" customHeight="1" s="112">
      <c r="A7" s="119" t="n">
        <v>2</v>
      </c>
      <c r="B7" s="119" t="n"/>
      <c r="C7" s="119" t="n"/>
      <c r="D7" s="119" t="n"/>
      <c r="E7" s="119" t="inlineStr">
        <is>
          <t>1:1</t>
        </is>
      </c>
      <c r="F7" s="119" t="n">
        <v>2</v>
      </c>
      <c r="G7" s="120" t="n">
        <v>0.47529</v>
      </c>
      <c r="H7" s="120" t="n">
        <v>0.02048</v>
      </c>
      <c r="I7" s="120" t="n">
        <v>0.50422</v>
      </c>
      <c r="J7" s="121">
        <f>IF(G7="","",G7+H7+I7)</f>
        <v/>
      </c>
      <c r="K7" s="121">
        <f>IF(G7="","",G7*$B$2)</f>
        <v/>
      </c>
      <c r="L7" s="121">
        <f>IF(H7="","",H7*$B$2)</f>
        <v/>
      </c>
      <c r="M7" s="121">
        <f>IF(I7="","",I7*$B$2)</f>
        <v/>
      </c>
      <c r="N7" s="121">
        <f>IF(K7="","",K7+L7+M7)</f>
        <v/>
      </c>
    </row>
    <row r="8" ht="15" customHeight="1" s="112">
      <c r="A8" s="119" t="n">
        <v>3</v>
      </c>
      <c r="B8" s="119" t="n"/>
      <c r="C8" s="119" t="n"/>
      <c r="D8" s="119" t="n"/>
      <c r="E8" s="119" t="inlineStr">
        <is>
          <t>1:1</t>
        </is>
      </c>
      <c r="F8" s="119" t="n">
        <v>3</v>
      </c>
      <c r="G8" s="120" t="n">
        <v>0.24503</v>
      </c>
      <c r="H8" s="120" t="n">
        <v>0.25452</v>
      </c>
      <c r="I8" s="120" t="n">
        <v>0.50045</v>
      </c>
      <c r="J8" s="121">
        <f>IF(G8="","",G8+H8+I8)</f>
        <v/>
      </c>
      <c r="K8" s="121">
        <f>IF(G8="","",G8*$B$2)</f>
        <v/>
      </c>
      <c r="L8" s="121">
        <f>IF(H8="","",H8*$B$2)</f>
        <v/>
      </c>
      <c r="M8" s="121">
        <f>IF(I8="","",I8*$B$2)</f>
        <v/>
      </c>
      <c r="N8" s="121">
        <f>IF(K8="","",K8+L8+M8)</f>
        <v/>
      </c>
    </row>
    <row r="9" ht="15" customHeight="1" s="112">
      <c r="A9" s="119" t="n">
        <v>4</v>
      </c>
      <c r="B9" s="119" t="n"/>
      <c r="C9" s="119" t="n"/>
      <c r="D9" s="119" t="n"/>
      <c r="E9" s="119" t="inlineStr">
        <is>
          <t>1:1</t>
        </is>
      </c>
      <c r="F9" s="119" t="n">
        <v>4</v>
      </c>
      <c r="G9" s="120" t="n">
        <v>0.13276</v>
      </c>
      <c r="H9" s="120" t="n">
        <v>0.36622</v>
      </c>
      <c r="I9" s="120" t="n">
        <v>0.50102</v>
      </c>
      <c r="J9" s="121">
        <f>IF(G9="","",G9+H9+I9)</f>
        <v/>
      </c>
      <c r="K9" s="121">
        <f>IF(G9="","",G9*$B$2)</f>
        <v/>
      </c>
      <c r="L9" s="121">
        <f>IF(H9="","",H9*$B$2)</f>
        <v/>
      </c>
      <c r="M9" s="121">
        <f>IF(I9="","",I9*$B$2)</f>
        <v/>
      </c>
      <c r="N9" s="121">
        <f>IF(K9="","",K9+L9+M9)</f>
        <v/>
      </c>
    </row>
    <row r="10" ht="15" customHeight="1" s="112">
      <c r="A10" s="119" t="n">
        <v>5</v>
      </c>
      <c r="B10" s="119" t="n"/>
      <c r="C10" s="119" t="n"/>
      <c r="D10" s="119" t="n"/>
      <c r="E10" s="119" t="inlineStr">
        <is>
          <t>1:1</t>
        </is>
      </c>
      <c r="F10" s="119" t="n">
        <v>5</v>
      </c>
      <c r="G10" s="120" t="n">
        <v>0.35944</v>
      </c>
      <c r="H10" s="120" t="n">
        <v>0.13914</v>
      </c>
      <c r="I10" s="120" t="n">
        <v>0.50142</v>
      </c>
      <c r="J10" s="121">
        <f>IF(G10="","",G10+H10+I10)</f>
        <v/>
      </c>
      <c r="K10" s="121">
        <f>IF(G10="","",G10*$B$2)</f>
        <v/>
      </c>
      <c r="L10" s="121">
        <f>IF(H10="","",H10*$B$2)</f>
        <v/>
      </c>
      <c r="M10" s="121">
        <f>IF(I10="","",I10*$B$2)</f>
        <v/>
      </c>
      <c r="N10" s="121">
        <f>IF(K10="","",K10+L10+M10)</f>
        <v/>
      </c>
    </row>
    <row r="12" ht="15" customHeight="1" s="112">
      <c r="A12" s="119" t="n">
        <v>6</v>
      </c>
      <c r="B12" s="118" t="inlineStr">
        <is>
          <t>ThyGer</t>
        </is>
      </c>
      <c r="C12" s="119" t="inlineStr">
        <is>
          <t>Thymol</t>
        </is>
      </c>
      <c r="D12" s="119" t="inlineStr">
        <is>
          <t>Geraniol</t>
        </is>
      </c>
      <c r="E12" s="119" t="inlineStr">
        <is>
          <t>1:1</t>
        </is>
      </c>
      <c r="F12" s="119" t="n">
        <v>1</v>
      </c>
      <c r="G12" s="120" t="n">
        <v>0.47452</v>
      </c>
      <c r="H12" s="120" t="n">
        <v>0.02001</v>
      </c>
      <c r="I12" s="120" t="n">
        <v>0.50547</v>
      </c>
      <c r="J12" s="121">
        <f>IF(G12="","",G12+H12+I12)</f>
        <v/>
      </c>
      <c r="K12" s="121">
        <f>IF(G12="","",G12*$B$2)</f>
        <v/>
      </c>
      <c r="L12" s="121">
        <f>IF(H12="","",H12*$B$2)</f>
        <v/>
      </c>
      <c r="M12" s="121">
        <f>IF(I12="","",I12*$B$2)</f>
        <v/>
      </c>
      <c r="N12" s="121">
        <f>IF(K12="","",K12+L12+M12)</f>
        <v/>
      </c>
    </row>
    <row r="13" ht="15" customHeight="1" s="112">
      <c r="A13" s="119" t="n">
        <v>7</v>
      </c>
      <c r="B13" s="119" t="n"/>
      <c r="C13" s="119" t="n"/>
      <c r="D13" s="119" t="n"/>
      <c r="E13" s="119" t="inlineStr">
        <is>
          <t>1:1</t>
        </is>
      </c>
      <c r="F13" s="119" t="n">
        <v>2</v>
      </c>
      <c r="G13" s="120" t="n">
        <v>0.02072</v>
      </c>
      <c r="H13" s="120" t="n">
        <v>0.45539</v>
      </c>
      <c r="I13" s="120" t="n">
        <v>0.52389</v>
      </c>
      <c r="J13" s="121">
        <f>IF(G13="","",G13+H13+I13)</f>
        <v/>
      </c>
      <c r="K13" s="121">
        <f>IF(G13="","",G13*$B$2)</f>
        <v/>
      </c>
      <c r="L13" s="121">
        <f>IF(H13="","",H13*$B$2)</f>
        <v/>
      </c>
      <c r="M13" s="121">
        <f>IF(I13="","",I13*$B$2)</f>
        <v/>
      </c>
      <c r="N13" s="121">
        <f>IF(K13="","",K13+L13+M13)</f>
        <v/>
      </c>
    </row>
    <row r="14" ht="15" customHeight="1" s="112">
      <c r="A14" s="119" t="n">
        <v>8</v>
      </c>
      <c r="B14" s="119" t="n"/>
      <c r="C14" s="119" t="n"/>
      <c r="D14" s="119" t="n"/>
      <c r="E14" s="119" t="inlineStr">
        <is>
          <t>1:1</t>
        </is>
      </c>
      <c r="F14" s="119" t="n">
        <v>3</v>
      </c>
      <c r="G14" s="120" t="n">
        <v>0.24795</v>
      </c>
      <c r="H14" s="120" t="n">
        <v>0.23883</v>
      </c>
      <c r="I14" s="120" t="n">
        <v>0.51322</v>
      </c>
      <c r="J14" s="121">
        <f>IF(G14="","",G14+H14+I14)</f>
        <v/>
      </c>
      <c r="K14" s="121">
        <f>IF(G14="","",G14*$B$2)</f>
        <v/>
      </c>
      <c r="L14" s="121">
        <f>IF(H14="","",H14*$B$2)</f>
        <v/>
      </c>
      <c r="M14" s="121">
        <f>IF(I14="","",I14*$B$2)</f>
        <v/>
      </c>
      <c r="N14" s="121">
        <f>IF(K14="","",K14+L14+M14)</f>
        <v/>
      </c>
    </row>
    <row r="15" ht="15" customHeight="1" s="112">
      <c r="A15" s="119" t="n">
        <v>9</v>
      </c>
      <c r="B15" s="119" t="n"/>
      <c r="C15" s="119" t="n"/>
      <c r="D15" s="119" t="n"/>
      <c r="E15" s="119" t="inlineStr">
        <is>
          <t>1:1</t>
        </is>
      </c>
      <c r="F15" s="119" t="n">
        <v>4</v>
      </c>
      <c r="G15" s="120" t="n">
        <v>0.13477</v>
      </c>
      <c r="H15" s="120" t="n">
        <v>0.34704</v>
      </c>
      <c r="I15" s="120" t="n">
        <v>0.51819</v>
      </c>
      <c r="J15" s="121">
        <f>IF(G15="","",G15+H15+I15)</f>
        <v/>
      </c>
      <c r="K15" s="121">
        <f>IF(G15="","",G15*$B$2)</f>
        <v/>
      </c>
      <c r="L15" s="121">
        <f>IF(H15="","",H15*$B$2)</f>
        <v/>
      </c>
      <c r="M15" s="121">
        <f>IF(I15="","",I15*$B$2)</f>
        <v/>
      </c>
      <c r="N15" s="121">
        <f>IF(K15="","",K15+L15+M15)</f>
        <v/>
      </c>
    </row>
    <row r="16" ht="15" customHeight="1" s="112">
      <c r="A16" s="119" t="n">
        <v>10</v>
      </c>
      <c r="B16" s="119" t="n"/>
      <c r="C16" s="119" t="n"/>
      <c r="D16" s="119" t="n"/>
      <c r="E16" s="119" t="inlineStr">
        <is>
          <t>1:1</t>
        </is>
      </c>
      <c r="F16" s="119" t="n">
        <v>5</v>
      </c>
      <c r="G16" s="120" t="n">
        <v>0.36056</v>
      </c>
      <c r="H16" s="120" t="n">
        <v>0.13046</v>
      </c>
      <c r="I16" s="120" t="n">
        <v>0.50898</v>
      </c>
      <c r="J16" s="121">
        <f>IF(G16="","",G16+H16+I16)</f>
        <v/>
      </c>
      <c r="K16" s="121">
        <f>IF(G16="","",G16*$B$2)</f>
        <v/>
      </c>
      <c r="L16" s="121">
        <f>IF(H16="","",H16*$B$2)</f>
        <v/>
      </c>
      <c r="M16" s="121">
        <f>IF(I16="","",I16*$B$2)</f>
        <v/>
      </c>
      <c r="N16" s="121">
        <f>IF(K16="","",K16+L16+M16)</f>
        <v/>
      </c>
    </row>
    <row r="18" ht="15" customHeight="1" s="112">
      <c r="A18" s="119" t="n">
        <v>11</v>
      </c>
      <c r="B18" s="118" t="inlineStr">
        <is>
          <t>ThyCarvac</t>
        </is>
      </c>
      <c r="C18" s="119" t="inlineStr">
        <is>
          <t>Thymol</t>
        </is>
      </c>
      <c r="D18" s="119" t="inlineStr">
        <is>
          <t>Carvacrol</t>
        </is>
      </c>
      <c r="E18" s="119" t="inlineStr">
        <is>
          <t>1:1</t>
        </is>
      </c>
      <c r="F18" s="119" t="n">
        <v>1</v>
      </c>
      <c r="G18" s="120" t="n">
        <v>0.47439</v>
      </c>
      <c r="H18" s="120" t="n">
        <v>0.02051</v>
      </c>
      <c r="I18" s="120" t="n">
        <v>0.5051</v>
      </c>
      <c r="J18" s="121">
        <f>IF(G18="","",G18+H18+I18)</f>
        <v/>
      </c>
      <c r="K18" s="121">
        <f>IF(G18="","",G18*$B$2)</f>
        <v/>
      </c>
      <c r="L18" s="121">
        <f>IF(H18="","",H18*$B$2)</f>
        <v/>
      </c>
      <c r="M18" s="121">
        <f>IF(I18="","",I18*$B$2)</f>
        <v/>
      </c>
      <c r="N18" s="121">
        <f>IF(K18="","",K18+L18+M18)</f>
        <v/>
      </c>
    </row>
    <row r="19" ht="15" customHeight="1" s="112">
      <c r="A19" s="119" t="n">
        <v>12</v>
      </c>
      <c r="B19" s="119" t="n"/>
      <c r="C19" s="119" t="n"/>
      <c r="D19" s="119" t="n"/>
      <c r="E19" s="119" t="inlineStr">
        <is>
          <t>1:1</t>
        </is>
      </c>
      <c r="F19" s="119" t="n">
        <v>2</v>
      </c>
      <c r="G19" s="120" t="n">
        <v>0.02032</v>
      </c>
      <c r="H19" s="120" t="n">
        <v>0.46755</v>
      </c>
      <c r="I19" s="120" t="n">
        <v>0.51214</v>
      </c>
      <c r="J19" s="121">
        <f>IF(G19="","",G19+H19+I19)</f>
        <v/>
      </c>
      <c r="K19" s="121">
        <f>IF(G19="","",G19*$B$2)</f>
        <v/>
      </c>
      <c r="L19" s="121">
        <f>IF(H19="","",H19*$B$2)</f>
        <v/>
      </c>
      <c r="M19" s="121">
        <f>IF(I19="","",I19*$B$2)</f>
        <v/>
      </c>
      <c r="N19" s="121">
        <f>IF(K19="","",K19+L19+M19)</f>
        <v/>
      </c>
    </row>
    <row r="20" ht="15" customHeight="1" s="112">
      <c r="A20" s="119" t="n">
        <v>13</v>
      </c>
      <c r="B20" s="119" t="n"/>
      <c r="C20" s="119" t="n"/>
      <c r="D20" s="119" t="n"/>
      <c r="E20" s="119" t="inlineStr">
        <is>
          <t>1:1</t>
        </is>
      </c>
      <c r="F20" s="119" t="n">
        <v>3</v>
      </c>
      <c r="G20" s="120" t="n">
        <v>0.2465</v>
      </c>
      <c r="H20" s="120" t="n">
        <v>0.24556</v>
      </c>
      <c r="I20" s="120" t="n">
        <v>0.5079399999999999</v>
      </c>
      <c r="J20" s="121">
        <f>IF(G20="","",G20+H20+I20)</f>
        <v/>
      </c>
      <c r="K20" s="121">
        <f>IF(G20="","",G20*$B$2)</f>
        <v/>
      </c>
      <c r="L20" s="121">
        <f>IF(H20="","",H20*$B$2)</f>
        <v/>
      </c>
      <c r="M20" s="121">
        <f>IF(I20="","",I20*$B$2)</f>
        <v/>
      </c>
      <c r="N20" s="121">
        <f>IF(K20="","",K20+L20+M20)</f>
        <v/>
      </c>
    </row>
    <row r="21" ht="15" customHeight="1" s="112">
      <c r="A21" s="119" t="n">
        <v>14</v>
      </c>
      <c r="B21" s="119" t="n"/>
      <c r="C21" s="119" t="n"/>
      <c r="D21" s="119" t="n"/>
      <c r="E21" s="119" t="inlineStr">
        <is>
          <t>1:1</t>
        </is>
      </c>
      <c r="F21" s="119" t="n">
        <v>4</v>
      </c>
      <c r="G21" s="120" t="n">
        <v>0.1329</v>
      </c>
      <c r="H21" s="120" t="n">
        <v>0.35721</v>
      </c>
      <c r="I21" s="120" t="n">
        <v>0.50989</v>
      </c>
      <c r="J21" s="121">
        <f>IF(G21="","",G21+H21+I21)</f>
        <v/>
      </c>
      <c r="K21" s="121">
        <f>IF(G21="","",G21*$B$2)</f>
        <v/>
      </c>
      <c r="L21" s="121">
        <f>IF(H21="","",H21*$B$2)</f>
        <v/>
      </c>
      <c r="M21" s="121">
        <f>IF(I21="","",I21*$B$2)</f>
        <v/>
      </c>
      <c r="N21" s="121">
        <f>IF(K21="","",K21+L21+M21)</f>
        <v/>
      </c>
    </row>
    <row r="22" ht="15" customHeight="1" s="112">
      <c r="A22" s="119" t="n">
        <v>15</v>
      </c>
      <c r="B22" s="119" t="n"/>
      <c r="C22" s="119" t="n"/>
      <c r="D22" s="119" t="n"/>
      <c r="E22" s="119" t="inlineStr">
        <is>
          <t>1:1</t>
        </is>
      </c>
      <c r="F22" s="119" t="n">
        <v>5</v>
      </c>
      <c r="G22" s="120" t="n">
        <v>0.35977</v>
      </c>
      <c r="H22" s="120" t="n">
        <v>0.1339</v>
      </c>
      <c r="I22" s="120" t="n">
        <v>0.50634</v>
      </c>
      <c r="J22" s="121">
        <f>IF(G22="","",G22+H22+I22)</f>
        <v/>
      </c>
      <c r="K22" s="121">
        <f>IF(G22="","",G22*$B$2)</f>
        <v/>
      </c>
      <c r="L22" s="121">
        <f>IF(H22="","",H22*$B$2)</f>
        <v/>
      </c>
      <c r="M22" s="121">
        <f>IF(I22="","",I22*$B$2)</f>
        <v/>
      </c>
      <c r="N22" s="121">
        <f>IF(K22="","",K22+L22+M22)</f>
        <v/>
      </c>
    </row>
    <row r="24" ht="15" customHeight="1" s="112">
      <c r="A24" s="119" t="n">
        <v>16</v>
      </c>
      <c r="B24" s="118" t="inlineStr">
        <is>
          <t>ThyEug</t>
        </is>
      </c>
      <c r="C24" s="119" t="inlineStr">
        <is>
          <t>Thymol</t>
        </is>
      </c>
      <c r="D24" s="119" t="inlineStr">
        <is>
          <t>Eugenol</t>
        </is>
      </c>
      <c r="E24" s="119" t="inlineStr">
        <is>
          <t>1:1</t>
        </is>
      </c>
      <c r="F24" s="119" t="n">
        <v>1</v>
      </c>
      <c r="G24" s="120" t="n">
        <v>0.47573</v>
      </c>
      <c r="H24" s="120" t="n">
        <v>0.02001</v>
      </c>
      <c r="I24" s="120" t="n">
        <v>0.50426</v>
      </c>
      <c r="J24" s="121">
        <f>IF(G24="","",G24+H24+I24)</f>
        <v/>
      </c>
      <c r="K24" s="121">
        <f>IF(G24="","",G24*$B$2)</f>
        <v/>
      </c>
      <c r="L24" s="121">
        <f>IF(H24="","",H24*$B$2)</f>
        <v/>
      </c>
      <c r="M24" s="121">
        <f>IF(I24="","",I24*$B$2)</f>
        <v/>
      </c>
      <c r="N24" s="121">
        <f>IF(K24="","",K24+L24+M24)</f>
        <v/>
      </c>
    </row>
    <row r="25" ht="15" customHeight="1" s="112">
      <c r="A25" s="119" t="n">
        <v>17</v>
      </c>
      <c r="B25" s="119" t="n"/>
      <c r="C25" s="119" t="n"/>
      <c r="D25" s="119" t="n"/>
      <c r="E25" s="119" t="inlineStr">
        <is>
          <t>1:1</t>
        </is>
      </c>
      <c r="F25" s="119" t="n">
        <v>2</v>
      </c>
      <c r="G25" s="120" t="n">
        <v>0.02082</v>
      </c>
      <c r="H25" s="120" t="n">
        <v>0.47311</v>
      </c>
      <c r="I25" s="120" t="n">
        <v>0.50606</v>
      </c>
      <c r="J25" s="121">
        <f>IF(G25="","",G25+H25+I25)</f>
        <v/>
      </c>
      <c r="K25" s="121">
        <f>IF(G25="","",G25*$B$2)</f>
        <v/>
      </c>
      <c r="L25" s="121">
        <f>IF(H25="","",H25*$B$2)</f>
        <v/>
      </c>
      <c r="M25" s="121">
        <f>IF(I25="","",I25*$B$2)</f>
        <v/>
      </c>
      <c r="N25" s="121">
        <f>IF(K25="","",K25+L25+M25)</f>
        <v/>
      </c>
    </row>
    <row r="26" ht="15" customHeight="1" s="112">
      <c r="A26" s="119" t="n">
        <v>18</v>
      </c>
      <c r="B26" s="119" t="n"/>
      <c r="C26" s="119" t="n"/>
      <c r="D26" s="119" t="n"/>
      <c r="E26" s="119" t="inlineStr">
        <is>
          <t>1:1</t>
        </is>
      </c>
      <c r="F26" s="119" t="n">
        <v>3</v>
      </c>
      <c r="G26" s="120" t="n">
        <v>0.24474</v>
      </c>
      <c r="H26" s="120" t="n">
        <v>0.25403</v>
      </c>
      <c r="I26" s="120" t="n">
        <v>0.50124</v>
      </c>
      <c r="J26" s="121">
        <f>IF(G26="","",G26+H26+I26)</f>
        <v/>
      </c>
      <c r="K26" s="121">
        <f>IF(G26="","",G26*$B$2)</f>
        <v/>
      </c>
      <c r="L26" s="121">
        <f>IF(H26="","",H26*$B$2)</f>
        <v/>
      </c>
      <c r="M26" s="121">
        <f>IF(I26="","",I26*$B$2)</f>
        <v/>
      </c>
      <c r="N26" s="121">
        <f>IF(K26="","",K26+L26+M26)</f>
        <v/>
      </c>
    </row>
    <row r="27" ht="15" customHeight="1" s="112">
      <c r="A27" s="119" t="n">
        <v>19</v>
      </c>
      <c r="B27" s="119" t="n"/>
      <c r="C27" s="119" t="n"/>
      <c r="D27" s="119" t="n"/>
      <c r="E27" s="119" t="inlineStr">
        <is>
          <t>1:1</t>
        </is>
      </c>
      <c r="F27" s="119" t="n">
        <v>4</v>
      </c>
      <c r="G27" s="120" t="n">
        <v>0.35862</v>
      </c>
      <c r="H27" s="120" t="n">
        <v>0.13975</v>
      </c>
      <c r="I27" s="120" t="n">
        <v>0.50163</v>
      </c>
      <c r="J27" s="121">
        <f>IF(G27="","",G27+H27+I27)</f>
        <v/>
      </c>
      <c r="K27" s="121">
        <f>IF(G27="","",G27*$B$2)</f>
        <v/>
      </c>
      <c r="L27" s="121">
        <f>IF(H27="","",H27*$B$2)</f>
        <v/>
      </c>
      <c r="M27" s="121">
        <f>IF(I27="","",I27*$B$2)</f>
        <v/>
      </c>
      <c r="N27" s="121">
        <f>IF(K27="","",K27+L27+M27)</f>
        <v/>
      </c>
    </row>
    <row r="28" ht="15" customHeight="1" s="112">
      <c r="A28" s="119" t="n">
        <v>20</v>
      </c>
      <c r="B28" s="119" t="n"/>
      <c r="C28" s="119" t="n"/>
      <c r="D28" s="119" t="n"/>
      <c r="E28" s="119" t="inlineStr">
        <is>
          <t>1:1</t>
        </is>
      </c>
      <c r="F28" s="119" t="n">
        <v>5</v>
      </c>
      <c r="G28" s="120" t="n">
        <v>0.13271</v>
      </c>
      <c r="H28" s="120" t="n">
        <v>0.36448</v>
      </c>
      <c r="I28" s="120" t="n">
        <v>0.50281</v>
      </c>
      <c r="J28" s="121">
        <f>IF(G28="","",G28+H28+I28)</f>
        <v/>
      </c>
      <c r="K28" s="121">
        <f>IF(G28="","",G28*$B$2)</f>
        <v/>
      </c>
      <c r="L28" s="121">
        <f>IF(H28="","",H28*$B$2)</f>
        <v/>
      </c>
      <c r="M28" s="121">
        <f>IF(I28="","",I28*$B$2)</f>
        <v/>
      </c>
      <c r="N28" s="121">
        <f>IF(K28="","",K28+L28+M28)</f>
        <v/>
      </c>
    </row>
    <row r="30" ht="15" customHeight="1" s="112">
      <c r="A30" s="119" t="n">
        <v>21</v>
      </c>
      <c r="B30" s="118" t="inlineStr">
        <is>
          <t>ThyCam</t>
        </is>
      </c>
      <c r="C30" s="119" t="inlineStr">
        <is>
          <t>Thymol</t>
        </is>
      </c>
      <c r="D30" s="119" t="inlineStr">
        <is>
          <t>Camphor</t>
        </is>
      </c>
      <c r="E30" s="119" t="inlineStr">
        <is>
          <t>1:1</t>
        </is>
      </c>
      <c r="F30" s="119" t="n">
        <v>1</v>
      </c>
      <c r="G30" s="120" t="n">
        <v>0.0203</v>
      </c>
      <c r="H30" s="120" t="n">
        <v>0.47651</v>
      </c>
      <c r="I30" s="120" t="n">
        <v>0.50319</v>
      </c>
      <c r="J30" s="121">
        <f>IF(G30="","",G30+H30+I30)</f>
        <v/>
      </c>
      <c r="K30" s="121">
        <f>IF(G30="","",G30*$B$2)</f>
        <v/>
      </c>
      <c r="L30" s="121">
        <f>IF(H30="","",H30*$B$2)</f>
        <v/>
      </c>
      <c r="M30" s="121">
        <f>IF(I30="","",I30*$B$2)</f>
        <v/>
      </c>
      <c r="N30" s="121">
        <f>IF(K30="","",K30+L30+M30)</f>
        <v/>
      </c>
    </row>
    <row r="31" ht="15" customHeight="1" s="112">
      <c r="A31" s="119" t="n">
        <v>22</v>
      </c>
      <c r="B31" s="119" t="n"/>
      <c r="C31" s="119" t="n"/>
      <c r="D31" s="119" t="n"/>
      <c r="E31" s="119" t="inlineStr">
        <is>
          <t>1:1</t>
        </is>
      </c>
      <c r="F31" s="119" t="n">
        <v>2</v>
      </c>
      <c r="G31" s="120" t="n">
        <v>0.47512</v>
      </c>
      <c r="H31" s="120" t="n">
        <v>0.02061</v>
      </c>
      <c r="I31" s="120" t="n">
        <v>0.50426</v>
      </c>
      <c r="J31" s="121">
        <f>IF(G31="","",G31+H31+I31)</f>
        <v/>
      </c>
      <c r="K31" s="121">
        <f>IF(G31="","",G31*$B$2)</f>
        <v/>
      </c>
      <c r="L31" s="121">
        <f>IF(H31="","",H31*$B$2)</f>
        <v/>
      </c>
      <c r="M31" s="121">
        <f>IF(I31="","",I31*$B$2)</f>
        <v/>
      </c>
      <c r="N31" s="121">
        <f>IF(K31="","",K31+L31+M31)</f>
        <v/>
      </c>
    </row>
    <row r="32" ht="15" customHeight="1" s="112">
      <c r="A32" s="119" t="n">
        <v>23</v>
      </c>
      <c r="B32" s="119" t="n"/>
      <c r="C32" s="119" t="n"/>
      <c r="D32" s="119" t="n"/>
      <c r="E32" s="119" t="inlineStr">
        <is>
          <t>1:1</t>
        </is>
      </c>
      <c r="F32" s="119" t="n">
        <v>3</v>
      </c>
      <c r="G32" s="120" t="n">
        <v>0.24476</v>
      </c>
      <c r="H32" s="120" t="n">
        <v>0.25451</v>
      </c>
      <c r="I32" s="120" t="n">
        <v>0.50073</v>
      </c>
      <c r="J32" s="121">
        <f>IF(G32="","",G32+H32+I32)</f>
        <v/>
      </c>
      <c r="K32" s="121">
        <f>IF(G32="","",G32*$B$2)</f>
        <v/>
      </c>
      <c r="L32" s="121">
        <f>IF(H32="","",H32*$B$2)</f>
        <v/>
      </c>
      <c r="M32" s="121">
        <f>IF(I32="","",I32*$B$2)</f>
        <v/>
      </c>
      <c r="N32" s="121">
        <f>IF(K32="","",K32+L32+M32)</f>
        <v/>
      </c>
    </row>
    <row r="33" ht="15" customHeight="1" s="112">
      <c r="A33" s="119" t="n">
        <v>24</v>
      </c>
      <c r="B33" s="119" t="n"/>
      <c r="C33" s="119" t="n"/>
      <c r="D33" s="119" t="n"/>
      <c r="E33" s="119" t="inlineStr">
        <is>
          <t>1:1</t>
        </is>
      </c>
      <c r="F33" s="119" t="n">
        <v>4</v>
      </c>
      <c r="G33" s="120" t="n">
        <v>0.13232</v>
      </c>
      <c r="H33" s="120" t="n">
        <v>0.36642</v>
      </c>
      <c r="I33" s="120" t="n">
        <v>0.50126</v>
      </c>
      <c r="J33" s="121">
        <f>IF(G33="","",G33+H33+I33)</f>
        <v/>
      </c>
      <c r="K33" s="121">
        <f>IF(G33="","",G33*$B$2)</f>
        <v/>
      </c>
      <c r="L33" s="121">
        <f>IF(H33="","",H33*$B$2)</f>
        <v/>
      </c>
      <c r="M33" s="121">
        <f>IF(I33="","",I33*$B$2)</f>
        <v/>
      </c>
      <c r="N33" s="121">
        <f>IF(K33="","",K33+L33+M33)</f>
        <v/>
      </c>
    </row>
    <row r="34" ht="15" customHeight="1" s="112">
      <c r="A34" s="119" t="n">
        <v>25</v>
      </c>
      <c r="B34" s="119" t="n"/>
      <c r="C34" s="119" t="n"/>
      <c r="D34" s="119" t="n"/>
      <c r="E34" s="119" t="inlineStr">
        <is>
          <t>1:1</t>
        </is>
      </c>
      <c r="F34" s="119" t="n">
        <v>5</v>
      </c>
      <c r="G34" s="120" t="n">
        <v>0.35859</v>
      </c>
      <c r="H34" s="120" t="n">
        <v>0.13977</v>
      </c>
      <c r="I34" s="120" t="n">
        <v>0.50163</v>
      </c>
      <c r="J34" s="121">
        <f>IF(G34="","",G34+H34+I34)</f>
        <v/>
      </c>
      <c r="K34" s="121">
        <f>IF(G34="","",G34*$B$2)</f>
        <v/>
      </c>
      <c r="L34" s="121">
        <f>IF(H34="","",H34*$B$2)</f>
        <v/>
      </c>
      <c r="M34" s="121">
        <f>IF(I34="","",I34*$B$2)</f>
        <v/>
      </c>
      <c r="N34" s="121">
        <f>IF(K34="","",K34+L34+M34)</f>
        <v/>
      </c>
    </row>
    <row r="36" ht="15" customHeight="1" s="112">
      <c r="A36" s="119" t="n">
        <v>26</v>
      </c>
      <c r="B36" s="118" t="inlineStr">
        <is>
          <t>CamCar</t>
        </is>
      </c>
      <c r="C36" s="119" t="inlineStr">
        <is>
          <t>Camphor</t>
        </is>
      </c>
      <c r="D36" s="119" t="inlineStr">
        <is>
          <t>Carvone</t>
        </is>
      </c>
      <c r="E36" s="119" t="inlineStr">
        <is>
          <t>1:1</t>
        </is>
      </c>
      <c r="F36" s="119" t="n">
        <v>1</v>
      </c>
      <c r="G36" s="120" t="n">
        <v>0.02055</v>
      </c>
      <c r="H36" s="120" t="n">
        <v>0.48113</v>
      </c>
      <c r="I36" s="120" t="n">
        <v>0.49832</v>
      </c>
      <c r="J36" s="121">
        <f>IF(G36="","",G36+H36+I36)</f>
        <v/>
      </c>
      <c r="K36" s="121">
        <f>IF(G36="","",G36*$B$2)</f>
        <v/>
      </c>
      <c r="L36" s="121">
        <f>IF(H36="","",H36*$B$2)</f>
        <v/>
      </c>
      <c r="M36" s="121">
        <f>IF(I36="","",I36*$B$2)</f>
        <v/>
      </c>
      <c r="N36" s="121">
        <f>IF(K36="","",K36+L36+M36)</f>
        <v/>
      </c>
    </row>
    <row r="37" ht="15" customHeight="1" s="112">
      <c r="A37" s="119" t="n">
        <v>27</v>
      </c>
      <c r="B37" s="119" t="n"/>
      <c r="C37" s="119" t="n"/>
      <c r="D37" s="119" t="n"/>
      <c r="E37" s="119" t="inlineStr">
        <is>
          <t>1:1</t>
        </is>
      </c>
      <c r="F37" s="119" t="n">
        <v>2</v>
      </c>
      <c r="G37" s="120" t="n">
        <v>0.476</v>
      </c>
      <c r="H37" s="120" t="n">
        <v>0.02061</v>
      </c>
      <c r="I37" s="120" t="n">
        <v>0.50339</v>
      </c>
      <c r="J37" s="121">
        <f>IF(G37="","",G37+H37+I37)</f>
        <v/>
      </c>
      <c r="K37" s="121">
        <f>IF(G37="","",G37*$B$2)</f>
        <v/>
      </c>
      <c r="L37" s="121">
        <f>IF(H37="","",H37*$B$2)</f>
        <v/>
      </c>
      <c r="M37" s="121">
        <f>IF(I37="","",I37*$B$2)</f>
        <v/>
      </c>
      <c r="N37" s="121">
        <f>IF(K37="","",K37+L37+M37)</f>
        <v/>
      </c>
    </row>
    <row r="38" ht="15" customHeight="1" s="112">
      <c r="A38" s="119" t="n">
        <v>28</v>
      </c>
      <c r="B38" s="119" t="n"/>
      <c r="C38" s="119" t="n"/>
      <c r="D38" s="119" t="n"/>
      <c r="E38" s="119" t="inlineStr">
        <is>
          <t>1:1</t>
        </is>
      </c>
      <c r="F38" s="119" t="n">
        <v>3</v>
      </c>
      <c r="G38" s="120" t="n">
        <v>0.24392</v>
      </c>
      <c r="H38" s="120" t="n">
        <v>0.26133</v>
      </c>
      <c r="I38" s="120" t="n">
        <v>0.49475</v>
      </c>
      <c r="J38" s="121">
        <f>IF(G38="","",G38+H38+I38)</f>
        <v/>
      </c>
      <c r="K38" s="121">
        <f>IF(G38="","",G38*$B$2)</f>
        <v/>
      </c>
      <c r="L38" s="121">
        <f>IF(H38="","",H38*$B$2)</f>
        <v/>
      </c>
      <c r="M38" s="121">
        <f>IF(I38="","",I38*$B$2)</f>
        <v/>
      </c>
      <c r="N38" s="121">
        <f>IF(K38="","",K38+L38+M38)</f>
        <v/>
      </c>
    </row>
    <row r="39" ht="15" customHeight="1" s="112">
      <c r="A39" s="119" t="n">
        <v>29</v>
      </c>
      <c r="B39" s="119" t="n"/>
      <c r="C39" s="119" t="n"/>
      <c r="D39" s="119" t="n"/>
      <c r="E39" s="119" t="inlineStr">
        <is>
          <t>1:1</t>
        </is>
      </c>
      <c r="F39" s="119" t="n">
        <v>4</v>
      </c>
      <c r="G39" s="120" t="n">
        <v>0.35809</v>
      </c>
      <c r="H39" s="120" t="n">
        <v>0.14474</v>
      </c>
      <c r="I39" s="120" t="n">
        <v>0.49717</v>
      </c>
      <c r="J39" s="121">
        <f>IF(G39="","",G39+H39+I39)</f>
        <v/>
      </c>
      <c r="K39" s="121">
        <f>IF(G39="","",G39*$B$2)</f>
        <v/>
      </c>
      <c r="L39" s="121">
        <f>IF(H39="","",H39*$B$2)</f>
        <v/>
      </c>
      <c r="M39" s="121">
        <f>IF(I39="","",I39*$B$2)</f>
        <v/>
      </c>
      <c r="N39" s="121">
        <f>IF(K39="","",K39+L39+M39)</f>
        <v/>
      </c>
    </row>
    <row r="40" ht="15" customHeight="1" s="112">
      <c r="A40" s="119" t="n">
        <v>30</v>
      </c>
      <c r="B40" s="119" t="n"/>
      <c r="C40" s="119" t="n"/>
      <c r="D40" s="119" t="n"/>
      <c r="E40" s="119" t="inlineStr">
        <is>
          <t>1:1</t>
        </is>
      </c>
      <c r="F40" s="119" t="n">
        <v>5</v>
      </c>
      <c r="G40" s="120" t="n">
        <v>0.13213</v>
      </c>
      <c r="H40" s="120" t="n">
        <v>0.37292</v>
      </c>
      <c r="I40" s="120" t="n">
        <v>0.49495</v>
      </c>
      <c r="J40" s="121">
        <f>IF(G40="","",G40+H40+I40)</f>
        <v/>
      </c>
      <c r="K40" s="121">
        <f>IF(G40="","",G40*$B$2)</f>
        <v/>
      </c>
      <c r="L40" s="121">
        <f>IF(H40="","",H40*$B$2)</f>
        <v/>
      </c>
      <c r="M40" s="121">
        <f>IF(I40="","",I40*$B$2)</f>
        <v/>
      </c>
      <c r="N40" s="121">
        <f>IF(K40="","",K40+L40+M40)</f>
        <v/>
      </c>
    </row>
    <row r="42" ht="15" customHeight="1" s="112">
      <c r="A42" s="119" t="n">
        <v>31</v>
      </c>
      <c r="B42" s="118" t="inlineStr">
        <is>
          <t>CamGer</t>
        </is>
      </c>
      <c r="C42" s="119" t="inlineStr">
        <is>
          <t>Camphor</t>
        </is>
      </c>
      <c r="D42" s="119" t="inlineStr">
        <is>
          <t>Geraniol</t>
        </is>
      </c>
      <c r="E42" s="119" t="inlineStr">
        <is>
          <t>1:1</t>
        </is>
      </c>
      <c r="F42" s="119" t="n">
        <v>1</v>
      </c>
      <c r="G42" s="120" t="n">
        <v>0.02003</v>
      </c>
      <c r="H42" s="120" t="n">
        <v>0.4642</v>
      </c>
      <c r="I42" s="120" t="n">
        <v>0.51577</v>
      </c>
      <c r="J42" s="121">
        <f>IF(G42="","",G42+H42+I42)</f>
        <v/>
      </c>
      <c r="K42" s="121">
        <f>IF(G42="","",G42*$B$2)</f>
        <v/>
      </c>
      <c r="L42" s="121">
        <f>IF(H42="","",H42*$B$2)</f>
        <v/>
      </c>
      <c r="M42" s="121">
        <f>IF(I42="","",I42*$B$2)</f>
        <v/>
      </c>
      <c r="N42" s="121">
        <f>IF(K42="","",K42+L42+M42)</f>
        <v/>
      </c>
    </row>
    <row r="43" ht="15" customHeight="1" s="112">
      <c r="A43" s="119" t="n">
        <v>32</v>
      </c>
      <c r="B43" s="119" t="n"/>
      <c r="C43" s="119" t="n"/>
      <c r="D43" s="119" t="n"/>
      <c r="E43" s="119" t="inlineStr">
        <is>
          <t>1:1</t>
        </is>
      </c>
      <c r="F43" s="119" t="n">
        <v>2</v>
      </c>
      <c r="G43" s="120" t="n">
        <v>0.47522</v>
      </c>
      <c r="H43" s="120" t="n">
        <v>0.02013</v>
      </c>
      <c r="I43" s="120" t="n">
        <v>0.50465</v>
      </c>
      <c r="J43" s="121">
        <f>IF(G43="","",G43+H43+I43)</f>
        <v/>
      </c>
      <c r="K43" s="121">
        <f>IF(G43="","",G43*$B$2)</f>
        <v/>
      </c>
      <c r="L43" s="121">
        <f>IF(H43="","",H43*$B$2)</f>
        <v/>
      </c>
      <c r="M43" s="121">
        <f>IF(I43="","",I43*$B$2)</f>
        <v/>
      </c>
      <c r="N43" s="121">
        <f>IF(K43="","",K43+L43+M43)</f>
        <v/>
      </c>
    </row>
    <row r="44" ht="15" customHeight="1" s="112">
      <c r="A44" s="119" t="n">
        <v>33</v>
      </c>
      <c r="B44" s="119" t="n"/>
      <c r="C44" s="119" t="n"/>
      <c r="D44" s="119" t="n"/>
      <c r="E44" s="119" t="inlineStr">
        <is>
          <t>1:1</t>
        </is>
      </c>
      <c r="F44" s="119" t="n">
        <v>3</v>
      </c>
      <c r="G44" s="120" t="n">
        <v>0.24608</v>
      </c>
      <c r="H44" s="120" t="n">
        <v>0.24734</v>
      </c>
      <c r="I44" s="120" t="n">
        <v>0.50658</v>
      </c>
      <c r="J44" s="121">
        <f>IF(G44="","",G44+H44+I44)</f>
        <v/>
      </c>
      <c r="K44" s="121">
        <f>IF(G44="","",G44*$B$2)</f>
        <v/>
      </c>
      <c r="L44" s="121">
        <f>IF(H44="","",H44*$B$2)</f>
        <v/>
      </c>
      <c r="M44" s="121">
        <f>IF(I44="","",I44*$B$2)</f>
        <v/>
      </c>
      <c r="N44" s="121">
        <f>IF(K44="","",K44+L44+M44)</f>
        <v/>
      </c>
    </row>
    <row r="45" ht="15" customHeight="1" s="112">
      <c r="A45" s="119" t="n">
        <v>34</v>
      </c>
      <c r="B45" s="119" t="n"/>
      <c r="C45" s="119" t="n"/>
      <c r="D45" s="119" t="n"/>
      <c r="E45" s="119" t="inlineStr">
        <is>
          <t>1:1</t>
        </is>
      </c>
      <c r="F45" s="119" t="n">
        <v>4</v>
      </c>
      <c r="G45" s="120" t="n">
        <v>0.35967</v>
      </c>
      <c r="H45" s="120" t="n">
        <v>0.13575</v>
      </c>
      <c r="I45" s="120" t="n">
        <v>0.50458</v>
      </c>
      <c r="J45" s="121">
        <f>IF(G45="","",G45+H45+I45)</f>
        <v/>
      </c>
      <c r="K45" s="121">
        <f>IF(G45="","",G45*$B$2)</f>
        <v/>
      </c>
      <c r="L45" s="121">
        <f>IF(H45="","",H45*$B$2)</f>
        <v/>
      </c>
      <c r="M45" s="121">
        <f>IF(I45="","",I45*$B$2)</f>
        <v/>
      </c>
      <c r="N45" s="121">
        <f>IF(K45="","",K45+L45+M45)</f>
        <v/>
      </c>
    </row>
    <row r="46" ht="15" customHeight="1" s="112">
      <c r="A46" s="119" t="n">
        <v>35</v>
      </c>
      <c r="B46" s="119" t="n"/>
      <c r="C46" s="119" t="n"/>
      <c r="D46" s="119" t="n"/>
      <c r="E46" s="119" t="inlineStr">
        <is>
          <t>1:1</t>
        </is>
      </c>
      <c r="F46" s="119" t="n">
        <v>5</v>
      </c>
      <c r="G46" s="120" t="n">
        <v>0.13286</v>
      </c>
      <c r="H46" s="120" t="n">
        <v>0.35682</v>
      </c>
      <c r="I46" s="120" t="n">
        <v>0.51032</v>
      </c>
      <c r="J46" s="121">
        <f>IF(G46="","",G46+H46+I46)</f>
        <v/>
      </c>
      <c r="K46" s="121">
        <f>IF(G46="","",G46*$B$2)</f>
        <v/>
      </c>
      <c r="L46" s="121">
        <f>IF(H46="","",H46*$B$2)</f>
        <v/>
      </c>
      <c r="M46" s="121">
        <f>IF(I46="","",I46*$B$2)</f>
        <v/>
      </c>
      <c r="N46" s="121">
        <f>IF(K46="","",K46+L46+M46)</f>
        <v/>
      </c>
    </row>
    <row r="48" ht="15" customHeight="1" s="112">
      <c r="A48" s="119" t="n">
        <v>36</v>
      </c>
      <c r="B48" s="118" t="inlineStr">
        <is>
          <t>CamCarvac</t>
        </is>
      </c>
      <c r="C48" s="119" t="inlineStr">
        <is>
          <t>Camphor</t>
        </is>
      </c>
      <c r="D48" s="119" t="inlineStr">
        <is>
          <t>Carvacrol</t>
        </is>
      </c>
      <c r="E48" s="119" t="inlineStr">
        <is>
          <t>1:1</t>
        </is>
      </c>
      <c r="F48" s="119" t="n">
        <v>1</v>
      </c>
      <c r="G48" s="120" t="n">
        <v>0.02035</v>
      </c>
      <c r="H48" s="120" t="n">
        <v>0.47845</v>
      </c>
      <c r="I48" s="120" t="n">
        <v>0.5012</v>
      </c>
      <c r="J48" s="121">
        <f>IF(G48="","",G48+H48+I48)</f>
        <v/>
      </c>
      <c r="K48" s="121">
        <f>IF(G48="","",G48*$B$2)</f>
        <v/>
      </c>
      <c r="L48" s="121">
        <f>IF(H48="","",H48*$B$2)</f>
        <v/>
      </c>
      <c r="M48" s="121">
        <f>IF(I48="","",I48*$B$2)</f>
        <v/>
      </c>
      <c r="N48" s="121">
        <f>IF(K48="","",K48+L48+M48)</f>
        <v/>
      </c>
    </row>
    <row r="49" ht="15" customHeight="1" s="112">
      <c r="A49" s="119" t="n">
        <v>37</v>
      </c>
      <c r="B49" s="119" t="n"/>
      <c r="C49" s="119" t="n"/>
      <c r="D49" s="119" t="n"/>
      <c r="E49" s="119" t="inlineStr">
        <is>
          <t>1:1</t>
        </is>
      </c>
      <c r="F49" s="119" t="n">
        <v>2</v>
      </c>
      <c r="G49" s="120" t="n">
        <v>0.47512</v>
      </c>
      <c r="H49" s="120" t="n">
        <v>0.02064</v>
      </c>
      <c r="I49" s="120" t="n">
        <v>0.50424</v>
      </c>
      <c r="J49" s="121">
        <f>IF(G49="","",G49+H49+I49)</f>
        <v/>
      </c>
      <c r="K49" s="121">
        <f>IF(G49="","",G49*$B$2)</f>
        <v/>
      </c>
      <c r="L49" s="121">
        <f>IF(H49="","",H49*$B$2)</f>
        <v/>
      </c>
      <c r="M49" s="121">
        <f>IF(I49="","",I49*$B$2)</f>
        <v/>
      </c>
      <c r="N49" s="121">
        <f>IF(K49="","",K49+L49+M49)</f>
        <v/>
      </c>
    </row>
    <row r="50" ht="15" customHeight="1" s="112">
      <c r="A50" s="119" t="n">
        <v>38</v>
      </c>
      <c r="B50" s="119" t="n"/>
      <c r="C50" s="119" t="n"/>
      <c r="D50" s="119" t="n"/>
      <c r="E50" s="119" t="inlineStr">
        <is>
          <t>1:1</t>
        </is>
      </c>
      <c r="F50" s="119" t="n">
        <v>3</v>
      </c>
      <c r="G50" s="120" t="n">
        <v>0.24425</v>
      </c>
      <c r="H50" s="120" t="n">
        <v>0.25577</v>
      </c>
      <c r="I50" s="120" t="n">
        <v>0.49999</v>
      </c>
      <c r="J50" s="121">
        <f>IF(G50="","",G50+H50+I50)</f>
        <v/>
      </c>
      <c r="K50" s="121">
        <f>IF(G50="","",G50*$B$2)</f>
        <v/>
      </c>
      <c r="L50" s="121">
        <f>IF(H50="","",H50*$B$2)</f>
        <v/>
      </c>
      <c r="M50" s="121">
        <f>IF(I50="","",I50*$B$2)</f>
        <v/>
      </c>
      <c r="N50" s="121">
        <f>IF(K50="","",K50+L50+M50)</f>
        <v/>
      </c>
    </row>
    <row r="51" ht="15" customHeight="1" s="112">
      <c r="A51" s="119" t="n">
        <v>39</v>
      </c>
      <c r="B51" s="119" t="n"/>
      <c r="C51" s="119" t="n"/>
      <c r="D51" s="119" t="n"/>
      <c r="E51" s="119" t="inlineStr">
        <is>
          <t>1:1</t>
        </is>
      </c>
      <c r="F51" s="119" t="n">
        <v>4</v>
      </c>
      <c r="G51" s="120" t="n">
        <v>0.35866</v>
      </c>
      <c r="H51" s="120" t="n">
        <v>0.14</v>
      </c>
      <c r="I51" s="120" t="n">
        <v>0.50134</v>
      </c>
      <c r="J51" s="121">
        <f>IF(G51="","",G51+H51+I51)</f>
        <v/>
      </c>
      <c r="K51" s="121">
        <f>IF(G51="","",G51*$B$2)</f>
        <v/>
      </c>
      <c r="L51" s="121">
        <f>IF(H51="","",H51*$B$2)</f>
        <v/>
      </c>
      <c r="M51" s="121">
        <f>IF(I51="","",I51*$B$2)</f>
        <v/>
      </c>
      <c r="N51" s="121">
        <f>IF(K51="","",K51+L51+M51)</f>
        <v/>
      </c>
    </row>
    <row r="52" ht="15" customHeight="1" s="112">
      <c r="A52" s="119" t="n">
        <v>40</v>
      </c>
      <c r="B52" s="119" t="n"/>
      <c r="C52" s="119" t="n"/>
      <c r="D52" s="119" t="n"/>
      <c r="E52" s="119" t="inlineStr">
        <is>
          <t>1:1</t>
        </is>
      </c>
      <c r="F52" s="119" t="n">
        <v>5</v>
      </c>
      <c r="G52" s="120" t="n">
        <v>0.13211</v>
      </c>
      <c r="H52" s="120" t="n">
        <v>0.36793</v>
      </c>
      <c r="I52" s="120" t="n">
        <v>0.49996</v>
      </c>
      <c r="J52" s="121">
        <f>IF(G52="","",G52+H52+I52)</f>
        <v/>
      </c>
      <c r="K52" s="121">
        <f>IF(G52="","",G52*$B$2)</f>
        <v/>
      </c>
      <c r="L52" s="121">
        <f>IF(H52="","",H52*$B$2)</f>
        <v/>
      </c>
      <c r="M52" s="121">
        <f>IF(I52="","",I52*$B$2)</f>
        <v/>
      </c>
      <c r="N52" s="121">
        <f>IF(K52="","",K52+L52+M52)</f>
        <v/>
      </c>
    </row>
    <row r="54" ht="15" customHeight="1" s="112">
      <c r="A54" s="119" t="n">
        <v>41</v>
      </c>
      <c r="B54" s="118" t="inlineStr">
        <is>
          <t>CamEug</t>
        </is>
      </c>
      <c r="C54" s="119" t="inlineStr">
        <is>
          <t>Camphor</t>
        </is>
      </c>
      <c r="D54" s="119" t="inlineStr">
        <is>
          <t>Eugenol</t>
        </is>
      </c>
      <c r="E54" s="119" t="inlineStr">
        <is>
          <t>1:1</t>
        </is>
      </c>
      <c r="F54" s="119" t="n">
        <v>1</v>
      </c>
      <c r="G54" s="120" t="n">
        <v>0.47639</v>
      </c>
      <c r="H54" s="120" t="n">
        <v>0.02013</v>
      </c>
      <c r="I54" s="120" t="n">
        <v>0.50348</v>
      </c>
      <c r="J54" s="121">
        <f>IF(G54="","",G54+H54+I54)</f>
        <v/>
      </c>
      <c r="K54" s="121">
        <f>IF(G54="","",G54*$B$2)</f>
        <v/>
      </c>
      <c r="L54" s="121">
        <f>IF(H54="","",H54*$B$2)</f>
        <v/>
      </c>
      <c r="M54" s="121">
        <f>IF(I54="","",I54*$B$2)</f>
        <v/>
      </c>
      <c r="N54" s="121">
        <f>IF(K54="","",K54+L54+M54)</f>
        <v/>
      </c>
    </row>
    <row r="55" ht="15" customHeight="1" s="112">
      <c r="A55" s="119" t="n">
        <v>42</v>
      </c>
      <c r="B55" s="119" t="n"/>
      <c r="C55" s="119" t="n"/>
      <c r="D55" s="119" t="n"/>
      <c r="E55" s="119" t="inlineStr">
        <is>
          <t>1:1</t>
        </is>
      </c>
      <c r="F55" s="119" t="n">
        <v>2</v>
      </c>
      <c r="G55" s="120" t="n">
        <v>0.02059</v>
      </c>
      <c r="H55" s="120" t="n">
        <v>0.48159</v>
      </c>
      <c r="I55" s="120" t="n">
        <v>0.49782</v>
      </c>
      <c r="J55" s="121">
        <f>IF(G55="","",G55+H55+I55)</f>
        <v/>
      </c>
      <c r="K55" s="121">
        <f>IF(G55="","",G55*$B$2)</f>
        <v/>
      </c>
      <c r="L55" s="121">
        <f>IF(H55="","",H55*$B$2)</f>
        <v/>
      </c>
      <c r="M55" s="121">
        <f>IF(I55="","",I55*$B$2)</f>
        <v/>
      </c>
      <c r="N55" s="121">
        <f>IF(K55="","",K55+L55+M55)</f>
        <v/>
      </c>
    </row>
    <row r="56" ht="15" customHeight="1" s="112">
      <c r="A56" s="119" t="n">
        <v>43</v>
      </c>
      <c r="B56" s="119" t="n"/>
      <c r="C56" s="119" t="n"/>
      <c r="D56" s="119" t="n"/>
      <c r="E56" s="119" t="inlineStr">
        <is>
          <t>1:1</t>
        </is>
      </c>
      <c r="F56" s="119" t="n">
        <v>3</v>
      </c>
      <c r="G56" s="120" t="n">
        <v>0.2434</v>
      </c>
      <c r="H56" s="120" t="n">
        <v>0.26131</v>
      </c>
      <c r="I56" s="120" t="n">
        <v>0.49529</v>
      </c>
      <c r="J56" s="121">
        <f>IF(G56="","",G56+H56+I56)</f>
        <v/>
      </c>
      <c r="K56" s="121">
        <f>IF(G56="","",G56*$B$2)</f>
        <v/>
      </c>
      <c r="L56" s="121">
        <f>IF(H56="","",H56*$B$2)</f>
        <v/>
      </c>
      <c r="M56" s="121">
        <f>IF(I56="","",I56*$B$2)</f>
        <v/>
      </c>
      <c r="N56" s="121">
        <f>IF(K56="","",K56+L56+M56)</f>
        <v/>
      </c>
    </row>
    <row r="57" ht="15" customHeight="1" s="112">
      <c r="A57" s="119" t="n">
        <v>44</v>
      </c>
      <c r="B57" s="119" t="n"/>
      <c r="C57" s="119" t="n"/>
      <c r="D57" s="119" t="n"/>
      <c r="E57" s="119" t="inlineStr">
        <is>
          <t>1:1</t>
        </is>
      </c>
      <c r="F57" s="119" t="n">
        <v>4</v>
      </c>
      <c r="G57" s="120" t="n">
        <v>0.35756</v>
      </c>
      <c r="H57" s="120" t="n">
        <v>0.14499</v>
      </c>
      <c r="I57" s="120" t="n">
        <v>0.49746</v>
      </c>
      <c r="J57" s="121">
        <f>IF(G57="","",G57+H57+I57)</f>
        <v/>
      </c>
      <c r="K57" s="121">
        <f>IF(G57="","",G57*$B$2)</f>
        <v/>
      </c>
      <c r="L57" s="121">
        <f>IF(H57="","",H57*$B$2)</f>
        <v/>
      </c>
      <c r="M57" s="121">
        <f>IF(I57="","",I57*$B$2)</f>
        <v/>
      </c>
      <c r="N57" s="121">
        <f>IF(K57="","",K57+L57+M57)</f>
        <v/>
      </c>
    </row>
    <row r="58" ht="15" customHeight="1" s="112">
      <c r="A58" s="119" t="n">
        <v>45</v>
      </c>
      <c r="B58" s="119" t="n"/>
      <c r="C58" s="119" t="n"/>
      <c r="D58" s="119" t="n"/>
      <c r="E58" s="119" t="inlineStr">
        <is>
          <t>1:1</t>
        </is>
      </c>
      <c r="F58" s="119" t="n">
        <v>5</v>
      </c>
      <c r="G58" s="120" t="n">
        <v>0.13115</v>
      </c>
      <c r="H58" s="120" t="n">
        <v>0.37322</v>
      </c>
      <c r="I58" s="120" t="n">
        <v>0.49563</v>
      </c>
      <c r="J58" s="121">
        <f>IF(G58="","",G58+H58+I58)</f>
        <v/>
      </c>
      <c r="K58" s="121">
        <f>IF(G58="","",G58*$B$2)</f>
        <v/>
      </c>
      <c r="L58" s="121">
        <f>IF(H58="","",H58*$B$2)</f>
        <v/>
      </c>
      <c r="M58" s="121">
        <f>IF(I58="","",I58*$B$2)</f>
        <v/>
      </c>
      <c r="N58" s="121">
        <f>IF(K58="","",K58+L58+M58)</f>
        <v/>
      </c>
    </row>
    <row r="61" ht="15" customHeight="1" s="112">
      <c r="A61" s="201" t="inlineStr">
        <is>
          <t>Legend:</t>
        </is>
      </c>
    </row>
    <row r="62" ht="15" customHeight="1" s="112">
      <c r="A62" s="202" t="n"/>
      <c r="B62" s="203" t="inlineStr">
        <is>
          <t>Paste z from software</t>
        </is>
      </c>
    </row>
    <row r="63" ht="15" customHeight="1" s="112">
      <c r="A63" s="204" t="n"/>
      <c r="B63" s="203" t="inlineStr">
        <is>
          <t>Auto-calculated</t>
        </is>
      </c>
    </row>
  </sheetData>
  <mergeCells count="2">
    <mergeCell ref="A3:N3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baseColWidth="8" defaultColWidth="8.54296875" defaultRowHeight="15" customHeight="0" zeroHeight="0" outlineLevelRow="0"/>
  <cols>
    <col width="5" customWidth="1" style="111" min="1" max="1"/>
    <col width="12" customWidth="1" style="111" min="2" max="2"/>
    <col width="5" customWidth="1" style="111" min="3" max="3"/>
    <col width="11" customWidth="1" style="111" min="4" max="14"/>
    <col width="9" customWidth="1" style="111" min="15" max="17"/>
    <col width="22" customWidth="1" style="111" min="18" max="18"/>
  </cols>
  <sheetData>
    <row r="1" ht="15.75" customHeight="1" s="112">
      <c r="A1" s="205" t="inlineStr">
        <is>
          <t>LAB SHEET — 2-phenylethanol + Solvent + Water</t>
        </is>
      </c>
    </row>
    <row r="2" ht="15" customHeight="1" s="112">
      <c r="A2" s="206" t="inlineStr">
        <is>
          <t>Add in order: tube → water → aroma → solvent. Record cumulative balance reading after each addition.</t>
        </is>
      </c>
    </row>
    <row r="4" ht="15" customHeight="1" s="112">
      <c r="A4" s="207" t="inlineStr">
        <is>
          <t>ρ_aroma (g/mL):</t>
        </is>
      </c>
      <c r="B4" s="208">
        <f>Componentes!P4</f>
        <v/>
      </c>
      <c r="C4" s="206" t="inlineStr">
        <is>
          <t>2-phenylethanol</t>
        </is>
      </c>
    </row>
    <row r="5" ht="15" customHeight="1" s="112">
      <c r="A5" s="207" t="inlineStr">
        <is>
          <t>ρ_water (g/mL):</t>
        </is>
      </c>
      <c r="B5" s="209" t="n">
        <v>0.997</v>
      </c>
    </row>
    <row r="7" ht="15" customHeight="1" s="112">
      <c r="A7" s="210" t="n"/>
      <c r="B7" s="211" t="inlineStr">
        <is>
          <t>Pipetting guide (from predictions)</t>
        </is>
      </c>
      <c r="C7" s="212" t="n"/>
      <c r="D7" s="212" t="n"/>
      <c r="E7" s="213" t="n"/>
      <c r="F7" s="211" t="inlineStr">
        <is>
          <t>Record on balance</t>
        </is>
      </c>
      <c r="G7" s="212" t="n"/>
      <c r="H7" s="212" t="n"/>
      <c r="I7" s="214" t="n"/>
      <c r="J7" s="211" t="inlineStr">
        <is>
          <t>Auto-calculated by difference</t>
        </is>
      </c>
      <c r="K7" s="212" t="n"/>
      <c r="L7" s="212" t="n"/>
      <c r="M7" s="212" t="n"/>
      <c r="N7" s="212" t="n"/>
      <c r="O7" s="212" t="n"/>
      <c r="P7" s="212" t="n"/>
      <c r="Q7" s="212" t="n"/>
      <c r="R7" s="212" t="n"/>
    </row>
    <row r="9" ht="23.25" customHeight="1" s="112">
      <c r="A9" s="215" t="inlineStr">
        <is>
          <t>#</t>
        </is>
      </c>
      <c r="B9" s="215" t="inlineStr">
        <is>
          <t>Solvent</t>
        </is>
      </c>
      <c r="C9" s="215" t="inlineStr">
        <is>
          <t>TL#</t>
        </is>
      </c>
      <c r="D9" s="215" t="inlineStr">
        <is>
          <t>V_water
est (mL)</t>
        </is>
      </c>
      <c r="E9" s="215" t="inlineStr">
        <is>
          <t>V_aroma
est (mL)</t>
        </is>
      </c>
      <c r="F9" s="215" t="inlineStr">
        <is>
          <t>V_solv
est (mL)</t>
        </is>
      </c>
      <c r="G9" s="215" t="inlineStr">
        <is>
          <t>W_tube
(g)</t>
        </is>
      </c>
      <c r="H9" s="215" t="inlineStr">
        <is>
          <t>W +water
(g)</t>
        </is>
      </c>
      <c r="I9" s="215" t="inlineStr">
        <is>
          <t>W +aroma
(g)</t>
        </is>
      </c>
      <c r="J9" s="215" t="inlineStr">
        <is>
          <t>W +solv
(g)</t>
        </is>
      </c>
      <c r="K9" s="215" t="inlineStr">
        <is>
          <t>m_water
(g)</t>
        </is>
      </c>
      <c r="L9" s="215" t="inlineStr">
        <is>
          <t>m_aroma
(g)</t>
        </is>
      </c>
      <c r="M9" s="215" t="inlineStr">
        <is>
          <t>m_solvent
(g)</t>
        </is>
      </c>
      <c r="N9" s="215" t="inlineStr">
        <is>
          <t>m_total
(g)</t>
        </is>
      </c>
      <c r="O9" s="215" t="inlineStr">
        <is>
          <t>w_water</t>
        </is>
      </c>
      <c r="P9" s="215" t="inlineStr">
        <is>
          <t>w_aroma</t>
        </is>
      </c>
      <c r="Q9" s="215" t="inlineStr">
        <is>
          <t>w_solvent</t>
        </is>
      </c>
      <c r="R9" s="215" t="inlineStr">
        <is>
          <t>Notes</t>
        </is>
      </c>
    </row>
    <row r="10" ht="15" customHeight="1" s="112">
      <c r="A10" s="119" t="n">
        <v>1</v>
      </c>
      <c r="B10" s="118" t="inlineStr">
        <is>
          <t>2m3b2oh</t>
        </is>
      </c>
      <c r="C10" s="119" t="n">
        <v>1</v>
      </c>
      <c r="D10" s="216">
        <f>IF(predicciones_pcsaft!E6="","",predicciones_pcsaft!E6*7/$B$5)</f>
        <v/>
      </c>
      <c r="E10" s="216">
        <f>IF(predicciones_pcsaft!C6="","",predicciones_pcsaft!C6*7/$B$4)</f>
        <v/>
      </c>
      <c r="F10" s="216">
        <f>IF(predicciones_pcsaft!D6="","",predicciones_pcsaft!D6*7/Componentes!P6)</f>
        <v/>
      </c>
      <c r="G10" s="217" t="n"/>
      <c r="H10" s="217" t="n"/>
      <c r="I10" s="217" t="n"/>
      <c r="J10" s="217" t="n"/>
      <c r="K10" s="121">
        <f>IF(OR(G10="",H10=""),"",H10-G10)</f>
        <v/>
      </c>
      <c r="L10" s="121">
        <f>IF(OR(H10="",I10=""),"",I10-H10)</f>
        <v/>
      </c>
      <c r="M10" s="121">
        <f>IF(OR(I10="",J10=""),"",J10-I10)</f>
        <v/>
      </c>
      <c r="N10" s="121">
        <f>IF(OR(G10="",J10=""),"",J10-G10)</f>
        <v/>
      </c>
      <c r="O10" s="121">
        <f>IF(N10="","",K10/N10)</f>
        <v/>
      </c>
      <c r="P10" s="121">
        <f>IF(N10="","",L10/N10)</f>
        <v/>
      </c>
      <c r="Q10" s="121">
        <f>IF(N10="","",M10/N10)</f>
        <v/>
      </c>
      <c r="R10" s="218" t="n"/>
    </row>
    <row r="11" ht="15" customHeight="1" s="112">
      <c r="A11" s="119" t="n">
        <v>2</v>
      </c>
      <c r="B11" s="119" t="n"/>
      <c r="C11" s="119" t="n">
        <v>2</v>
      </c>
      <c r="D11" s="216">
        <f>IF(predicciones_pcsaft!E7="","",predicciones_pcsaft!E7*7/$B$5)</f>
        <v/>
      </c>
      <c r="E11" s="216">
        <f>IF(predicciones_pcsaft!C7="","",predicciones_pcsaft!C7*7/$B$4)</f>
        <v/>
      </c>
      <c r="F11" s="216">
        <f>IF(predicciones_pcsaft!D7="","",predicciones_pcsaft!D7*7/Componentes!P6)</f>
        <v/>
      </c>
      <c r="G11" s="217" t="n"/>
      <c r="H11" s="217" t="n"/>
      <c r="I11" s="217" t="n"/>
      <c r="J11" s="217" t="n"/>
      <c r="K11" s="121">
        <f>IF(OR(G11="",H11=""),"",H11-G11)</f>
        <v/>
      </c>
      <c r="L11" s="121">
        <f>IF(OR(H11="",I11=""),"",I11-H11)</f>
        <v/>
      </c>
      <c r="M11" s="121">
        <f>IF(OR(I11="",J11=""),"",J11-I11)</f>
        <v/>
      </c>
      <c r="N11" s="121">
        <f>IF(OR(G11="",J11=""),"",J11-G11)</f>
        <v/>
      </c>
      <c r="O11" s="121">
        <f>IF(N11="","",K11/N11)</f>
        <v/>
      </c>
      <c r="P11" s="121">
        <f>IF(N11="","",L11/N11)</f>
        <v/>
      </c>
      <c r="Q11" s="121">
        <f>IF(N11="","",M11/N11)</f>
        <v/>
      </c>
      <c r="R11" s="218" t="n"/>
    </row>
    <row r="12" ht="15" customHeight="1" s="112">
      <c r="A12" s="119" t="n">
        <v>3</v>
      </c>
      <c r="B12" s="119" t="n"/>
      <c r="C12" s="119" t="n">
        <v>3</v>
      </c>
      <c r="D12" s="216">
        <f>IF(predicciones_pcsaft!E8="","",predicciones_pcsaft!E8*7/$B$5)</f>
        <v/>
      </c>
      <c r="E12" s="216">
        <f>IF(predicciones_pcsaft!C8="","",predicciones_pcsaft!C8*7/$B$4)</f>
        <v/>
      </c>
      <c r="F12" s="216">
        <f>IF(predicciones_pcsaft!D8="","",predicciones_pcsaft!D8*7/Componentes!P6)</f>
        <v/>
      </c>
      <c r="G12" s="217" t="n"/>
      <c r="H12" s="217" t="n"/>
      <c r="I12" s="217" t="n"/>
      <c r="J12" s="217" t="n"/>
      <c r="K12" s="121">
        <f>IF(OR(G12="",H12=""),"",H12-G12)</f>
        <v/>
      </c>
      <c r="L12" s="121">
        <f>IF(OR(H12="",I12=""),"",I12-H12)</f>
        <v/>
      </c>
      <c r="M12" s="121">
        <f>IF(OR(I12="",J12=""),"",J12-I12)</f>
        <v/>
      </c>
      <c r="N12" s="121">
        <f>IF(OR(G12="",J12=""),"",J12-G12)</f>
        <v/>
      </c>
      <c r="O12" s="121">
        <f>IF(N12="","",K12/N12)</f>
        <v/>
      </c>
      <c r="P12" s="121">
        <f>IF(N12="","",L12/N12)</f>
        <v/>
      </c>
      <c r="Q12" s="121">
        <f>IF(N12="","",M12/N12)</f>
        <v/>
      </c>
      <c r="R12" s="218" t="n"/>
    </row>
    <row r="13" ht="15" customHeight="1" s="112">
      <c r="A13" s="119" t="n">
        <v>4</v>
      </c>
      <c r="B13" s="119" t="n"/>
      <c r="C13" s="119" t="n">
        <v>4</v>
      </c>
      <c r="D13" s="216">
        <f>IF(predicciones_pcsaft!E9="","",predicciones_pcsaft!E9*7/$B$5)</f>
        <v/>
      </c>
      <c r="E13" s="216">
        <f>IF(predicciones_pcsaft!C9="","",predicciones_pcsaft!C9*7/$B$4)</f>
        <v/>
      </c>
      <c r="F13" s="216">
        <f>IF(predicciones_pcsaft!D9="","",predicciones_pcsaft!D9*7/Componentes!P6)</f>
        <v/>
      </c>
      <c r="G13" s="217" t="n"/>
      <c r="H13" s="217" t="n"/>
      <c r="I13" s="217" t="n"/>
      <c r="J13" s="217" t="n"/>
      <c r="K13" s="121">
        <f>IF(OR(G13="",H13=""),"",H13-G13)</f>
        <v/>
      </c>
      <c r="L13" s="121">
        <f>IF(OR(H13="",I13=""),"",I13-H13)</f>
        <v/>
      </c>
      <c r="M13" s="121">
        <f>IF(OR(I13="",J13=""),"",J13-I13)</f>
        <v/>
      </c>
      <c r="N13" s="121">
        <f>IF(OR(G13="",J13=""),"",J13-G13)</f>
        <v/>
      </c>
      <c r="O13" s="121">
        <f>IF(N13="","",K13/N13)</f>
        <v/>
      </c>
      <c r="P13" s="121">
        <f>IF(N13="","",L13/N13)</f>
        <v/>
      </c>
      <c r="Q13" s="121">
        <f>IF(N13="","",M13/N13)</f>
        <v/>
      </c>
      <c r="R13" s="218" t="n"/>
    </row>
    <row r="14" ht="15" customHeight="1" s="112">
      <c r="A14" s="119" t="n">
        <v>5</v>
      </c>
      <c r="B14" s="119" t="n"/>
      <c r="C14" s="119" t="n">
        <v>5</v>
      </c>
      <c r="D14" s="216">
        <f>IF(predicciones_pcsaft!E10="","",predicciones_pcsaft!E10*7/$B$5)</f>
        <v/>
      </c>
      <c r="E14" s="216">
        <f>IF(predicciones_pcsaft!C10="","",predicciones_pcsaft!C10*7/$B$4)</f>
        <v/>
      </c>
      <c r="F14" s="216">
        <f>IF(predicciones_pcsaft!D10="","",predicciones_pcsaft!D10*7/Componentes!P6)</f>
        <v/>
      </c>
      <c r="G14" s="217" t="n"/>
      <c r="H14" s="217" t="n"/>
      <c r="I14" s="217" t="n"/>
      <c r="J14" s="217" t="n"/>
      <c r="K14" s="121">
        <f>IF(OR(G14="",H14=""),"",H14-G14)</f>
        <v/>
      </c>
      <c r="L14" s="121">
        <f>IF(OR(H14="",I14=""),"",I14-H14)</f>
        <v/>
      </c>
      <c r="M14" s="121">
        <f>IF(OR(I14="",J14=""),"",J14-I14)</f>
        <v/>
      </c>
      <c r="N14" s="121">
        <f>IF(OR(G14="",J14=""),"",J14-G14)</f>
        <v/>
      </c>
      <c r="O14" s="121">
        <f>IF(N14="","",K14/N14)</f>
        <v/>
      </c>
      <c r="P14" s="121">
        <f>IF(N14="","",L14/N14)</f>
        <v/>
      </c>
      <c r="Q14" s="121">
        <f>IF(N14="","",M14/N14)</f>
        <v/>
      </c>
      <c r="R14" s="218" t="n"/>
    </row>
    <row r="16" ht="15" customHeight="1" s="112">
      <c r="A16" s="119" t="n">
        <v>6</v>
      </c>
      <c r="B16" s="118" t="inlineStr">
        <is>
          <t>2m2boh</t>
        </is>
      </c>
      <c r="C16" s="119" t="n">
        <v>1</v>
      </c>
      <c r="D16" s="216">
        <f>IF(predicciones_pcsaft!E12="","",predicciones_pcsaft!E12*7/$B$5)</f>
        <v/>
      </c>
      <c r="E16" s="216">
        <f>IF(predicciones_pcsaft!C12="","",predicciones_pcsaft!C12*7/$B$4)</f>
        <v/>
      </c>
      <c r="F16" s="216">
        <f>IF(predicciones_pcsaft!D12="","",predicciones_pcsaft!D12*7/Componentes!P7)</f>
        <v/>
      </c>
      <c r="G16" s="217" t="n"/>
      <c r="H16" s="217" t="n"/>
      <c r="I16" s="217" t="n"/>
      <c r="J16" s="217" t="n"/>
      <c r="K16" s="121">
        <f>IF(OR(G16="",H16=""),"",H16-G16)</f>
        <v/>
      </c>
      <c r="L16" s="121">
        <f>IF(OR(H16="",I16=""),"",I16-H16)</f>
        <v/>
      </c>
      <c r="M16" s="121">
        <f>IF(OR(I16="",J16=""),"",J16-I16)</f>
        <v/>
      </c>
      <c r="N16" s="121">
        <f>IF(OR(G16="",J16=""),"",J16-G16)</f>
        <v/>
      </c>
      <c r="O16" s="121">
        <f>IF(N16="","",K16/N16)</f>
        <v/>
      </c>
      <c r="P16" s="121">
        <f>IF(N16="","",L16/N16)</f>
        <v/>
      </c>
      <c r="Q16" s="121">
        <f>IF(N16="","",M16/N16)</f>
        <v/>
      </c>
      <c r="R16" s="218" t="n"/>
    </row>
    <row r="17" ht="15" customHeight="1" s="112">
      <c r="A17" s="119" t="n">
        <v>7</v>
      </c>
      <c r="B17" s="119" t="n"/>
      <c r="C17" s="119" t="n">
        <v>2</v>
      </c>
      <c r="D17" s="216">
        <f>IF(predicciones_pcsaft!E13="","",predicciones_pcsaft!E13*7/$B$5)</f>
        <v/>
      </c>
      <c r="E17" s="216">
        <f>IF(predicciones_pcsaft!C13="","",predicciones_pcsaft!C13*7/$B$4)</f>
        <v/>
      </c>
      <c r="F17" s="216">
        <f>IF(predicciones_pcsaft!D13="","",predicciones_pcsaft!D13*7/Componentes!P7)</f>
        <v/>
      </c>
      <c r="G17" s="217" t="n"/>
      <c r="H17" s="217" t="n"/>
      <c r="I17" s="217" t="n"/>
      <c r="J17" s="217" t="n"/>
      <c r="K17" s="121">
        <f>IF(OR(G17="",H17=""),"",H17-G17)</f>
        <v/>
      </c>
      <c r="L17" s="121">
        <f>IF(OR(H17="",I17=""),"",I17-H17)</f>
        <v/>
      </c>
      <c r="M17" s="121">
        <f>IF(OR(I17="",J17=""),"",J17-I17)</f>
        <v/>
      </c>
      <c r="N17" s="121">
        <f>IF(OR(G17="",J17=""),"",J17-G17)</f>
        <v/>
      </c>
      <c r="O17" s="121">
        <f>IF(N17="","",K17/N17)</f>
        <v/>
      </c>
      <c r="P17" s="121">
        <f>IF(N17="","",L17/N17)</f>
        <v/>
      </c>
      <c r="Q17" s="121">
        <f>IF(N17="","",M17/N17)</f>
        <v/>
      </c>
      <c r="R17" s="218" t="n"/>
    </row>
    <row r="18" ht="15" customHeight="1" s="112">
      <c r="A18" s="119" t="n">
        <v>8</v>
      </c>
      <c r="B18" s="119" t="n"/>
      <c r="C18" s="119" t="n">
        <v>3</v>
      </c>
      <c r="D18" s="216">
        <f>IF(predicciones_pcsaft!E14="","",predicciones_pcsaft!E14*7/$B$5)</f>
        <v/>
      </c>
      <c r="E18" s="216">
        <f>IF(predicciones_pcsaft!C14="","",predicciones_pcsaft!C14*7/$B$4)</f>
        <v/>
      </c>
      <c r="F18" s="216">
        <f>IF(predicciones_pcsaft!D14="","",predicciones_pcsaft!D14*7/Componentes!P7)</f>
        <v/>
      </c>
      <c r="G18" s="217" t="n"/>
      <c r="H18" s="217" t="n"/>
      <c r="I18" s="217" t="n"/>
      <c r="J18" s="217" t="n"/>
      <c r="K18" s="121">
        <f>IF(OR(G18="",H18=""),"",H18-G18)</f>
        <v/>
      </c>
      <c r="L18" s="121">
        <f>IF(OR(H18="",I18=""),"",I18-H18)</f>
        <v/>
      </c>
      <c r="M18" s="121">
        <f>IF(OR(I18="",J18=""),"",J18-I18)</f>
        <v/>
      </c>
      <c r="N18" s="121">
        <f>IF(OR(G18="",J18=""),"",J18-G18)</f>
        <v/>
      </c>
      <c r="O18" s="121">
        <f>IF(N18="","",K18/N18)</f>
        <v/>
      </c>
      <c r="P18" s="121">
        <f>IF(N18="","",L18/N18)</f>
        <v/>
      </c>
      <c r="Q18" s="121">
        <f>IF(N18="","",M18/N18)</f>
        <v/>
      </c>
      <c r="R18" s="218" t="n"/>
    </row>
    <row r="19" ht="15" customHeight="1" s="112">
      <c r="A19" s="119" t="n">
        <v>9</v>
      </c>
      <c r="B19" s="119" t="n"/>
      <c r="C19" s="119" t="n">
        <v>4</v>
      </c>
      <c r="D19" s="216">
        <f>IF(predicciones_pcsaft!E15="","",predicciones_pcsaft!E15*7/$B$5)</f>
        <v/>
      </c>
      <c r="E19" s="216">
        <f>IF(predicciones_pcsaft!C15="","",predicciones_pcsaft!C15*7/$B$4)</f>
        <v/>
      </c>
      <c r="F19" s="216">
        <f>IF(predicciones_pcsaft!D15="","",predicciones_pcsaft!D15*7/Componentes!P7)</f>
        <v/>
      </c>
      <c r="G19" s="217" t="n"/>
      <c r="H19" s="217" t="n"/>
      <c r="I19" s="217" t="n"/>
      <c r="J19" s="217" t="n"/>
      <c r="K19" s="121">
        <f>IF(OR(G19="",H19=""),"",H19-G19)</f>
        <v/>
      </c>
      <c r="L19" s="121">
        <f>IF(OR(H19="",I19=""),"",I19-H19)</f>
        <v/>
      </c>
      <c r="M19" s="121">
        <f>IF(OR(I19="",J19=""),"",J19-I19)</f>
        <v/>
      </c>
      <c r="N19" s="121">
        <f>IF(OR(G19="",J19=""),"",J19-G19)</f>
        <v/>
      </c>
      <c r="O19" s="121">
        <f>IF(N19="","",K19/N19)</f>
        <v/>
      </c>
      <c r="P19" s="121">
        <f>IF(N19="","",L19/N19)</f>
        <v/>
      </c>
      <c r="Q19" s="121">
        <f>IF(N19="","",M19/N19)</f>
        <v/>
      </c>
      <c r="R19" s="218" t="n"/>
    </row>
    <row r="20" ht="15" customHeight="1" s="112">
      <c r="A20" s="119" t="n">
        <v>10</v>
      </c>
      <c r="B20" s="119" t="n"/>
      <c r="C20" s="119" t="n">
        <v>5</v>
      </c>
      <c r="D20" s="216">
        <f>IF(predicciones_pcsaft!E16="","",predicciones_pcsaft!E16*7/$B$5)</f>
        <v/>
      </c>
      <c r="E20" s="216">
        <f>IF(predicciones_pcsaft!C16="","",predicciones_pcsaft!C16*7/$B$4)</f>
        <v/>
      </c>
      <c r="F20" s="216">
        <f>IF(predicciones_pcsaft!D16="","",predicciones_pcsaft!D16*7/Componentes!P7)</f>
        <v/>
      </c>
      <c r="G20" s="217" t="n"/>
      <c r="H20" s="217" t="n"/>
      <c r="I20" s="217" t="n"/>
      <c r="J20" s="217" t="n"/>
      <c r="K20" s="121">
        <f>IF(OR(G20="",H20=""),"",H20-G20)</f>
        <v/>
      </c>
      <c r="L20" s="121">
        <f>IF(OR(H20="",I20=""),"",I20-H20)</f>
        <v/>
      </c>
      <c r="M20" s="121">
        <f>IF(OR(I20="",J20=""),"",J20-I20)</f>
        <v/>
      </c>
      <c r="N20" s="121">
        <f>IF(OR(G20="",J20=""),"",J20-G20)</f>
        <v/>
      </c>
      <c r="O20" s="121">
        <f>IF(N20="","",K20/N20)</f>
        <v/>
      </c>
      <c r="P20" s="121">
        <f>IF(N20="","",L20/N20)</f>
        <v/>
      </c>
      <c r="Q20" s="121">
        <f>IF(N20="","",M20/N20)</f>
        <v/>
      </c>
      <c r="R20" s="218" t="n"/>
    </row>
    <row r="22" ht="15" customHeight="1" s="112">
      <c r="A22" s="119" t="n">
        <v>11</v>
      </c>
      <c r="B22" s="118" t="inlineStr">
        <is>
          <t>hexoh</t>
        </is>
      </c>
      <c r="C22" s="119" t="n">
        <v>1</v>
      </c>
      <c r="D22" s="216">
        <f>IF(predicciones_pcsaft!E18="","",predicciones_pcsaft!E18*7/$B$5)</f>
        <v/>
      </c>
      <c r="E22" s="216">
        <f>IF(predicciones_pcsaft!C18="","",predicciones_pcsaft!C18*7/$B$4)</f>
        <v/>
      </c>
      <c r="F22" s="216">
        <f>IF(predicciones_pcsaft!D18="","",predicciones_pcsaft!D18*7/Componentes!P8)</f>
        <v/>
      </c>
      <c r="G22" s="217" t="n"/>
      <c r="H22" s="217" t="n"/>
      <c r="I22" s="217" t="n"/>
      <c r="J22" s="217" t="n"/>
      <c r="K22" s="121">
        <f>IF(OR(G22="",H22=""),"",H22-G22)</f>
        <v/>
      </c>
      <c r="L22" s="121">
        <f>IF(OR(H22="",I22=""),"",I22-H22)</f>
        <v/>
      </c>
      <c r="M22" s="121">
        <f>IF(OR(I22="",J22=""),"",J22-I22)</f>
        <v/>
      </c>
      <c r="N22" s="121">
        <f>IF(OR(G22="",J22=""),"",J22-G22)</f>
        <v/>
      </c>
      <c r="O22" s="121">
        <f>IF(N22="","",K22/N22)</f>
        <v/>
      </c>
      <c r="P22" s="121">
        <f>IF(N22="","",L22/N22)</f>
        <v/>
      </c>
      <c r="Q22" s="121">
        <f>IF(N22="","",M22/N22)</f>
        <v/>
      </c>
      <c r="R22" s="218" t="n"/>
    </row>
    <row r="23" ht="15" customHeight="1" s="112">
      <c r="A23" s="119" t="n">
        <v>12</v>
      </c>
      <c r="B23" s="119" t="n"/>
      <c r="C23" s="119" t="n">
        <v>2</v>
      </c>
      <c r="D23" s="216">
        <f>IF(predicciones_pcsaft!E19="","",predicciones_pcsaft!E19*7/$B$5)</f>
        <v/>
      </c>
      <c r="E23" s="216">
        <f>IF(predicciones_pcsaft!C19="","",predicciones_pcsaft!C19*7/$B$4)</f>
        <v/>
      </c>
      <c r="F23" s="216">
        <f>IF(predicciones_pcsaft!D19="","",predicciones_pcsaft!D19*7/Componentes!P8)</f>
        <v/>
      </c>
      <c r="G23" s="217" t="n"/>
      <c r="H23" s="217" t="n"/>
      <c r="I23" s="217" t="n"/>
      <c r="J23" s="217" t="n"/>
      <c r="K23" s="121">
        <f>IF(OR(G23="",H23=""),"",H23-G23)</f>
        <v/>
      </c>
      <c r="L23" s="121">
        <f>IF(OR(H23="",I23=""),"",I23-H23)</f>
        <v/>
      </c>
      <c r="M23" s="121">
        <f>IF(OR(I23="",J23=""),"",J23-I23)</f>
        <v/>
      </c>
      <c r="N23" s="121">
        <f>IF(OR(G23="",J23=""),"",J23-G23)</f>
        <v/>
      </c>
      <c r="O23" s="121">
        <f>IF(N23="","",K23/N23)</f>
        <v/>
      </c>
      <c r="P23" s="121">
        <f>IF(N23="","",L23/N23)</f>
        <v/>
      </c>
      <c r="Q23" s="121">
        <f>IF(N23="","",M23/N23)</f>
        <v/>
      </c>
      <c r="R23" s="218" t="n"/>
    </row>
    <row r="24" ht="15" customHeight="1" s="112">
      <c r="A24" s="119" t="n">
        <v>13</v>
      </c>
      <c r="B24" s="119" t="n"/>
      <c r="C24" s="119" t="n">
        <v>3</v>
      </c>
      <c r="D24" s="216">
        <f>IF(predicciones_pcsaft!E20="","",predicciones_pcsaft!E20*7/$B$5)</f>
        <v/>
      </c>
      <c r="E24" s="216">
        <f>IF(predicciones_pcsaft!C20="","",predicciones_pcsaft!C20*7/$B$4)</f>
        <v/>
      </c>
      <c r="F24" s="216">
        <f>IF(predicciones_pcsaft!D20="","",predicciones_pcsaft!D20*7/Componentes!P8)</f>
        <v/>
      </c>
      <c r="G24" s="217" t="n"/>
      <c r="H24" s="217" t="n"/>
      <c r="I24" s="217" t="n"/>
      <c r="J24" s="217" t="n"/>
      <c r="K24" s="121">
        <f>IF(OR(G24="",H24=""),"",H24-G24)</f>
        <v/>
      </c>
      <c r="L24" s="121">
        <f>IF(OR(H24="",I24=""),"",I24-H24)</f>
        <v/>
      </c>
      <c r="M24" s="121">
        <f>IF(OR(I24="",J24=""),"",J24-I24)</f>
        <v/>
      </c>
      <c r="N24" s="121">
        <f>IF(OR(G24="",J24=""),"",J24-G24)</f>
        <v/>
      </c>
      <c r="O24" s="121">
        <f>IF(N24="","",K24/N24)</f>
        <v/>
      </c>
      <c r="P24" s="121">
        <f>IF(N24="","",L24/N24)</f>
        <v/>
      </c>
      <c r="Q24" s="121">
        <f>IF(N24="","",M24/N24)</f>
        <v/>
      </c>
      <c r="R24" s="218" t="n"/>
    </row>
    <row r="25" ht="15" customHeight="1" s="112">
      <c r="A25" s="119" t="n">
        <v>14</v>
      </c>
      <c r="B25" s="119" t="n"/>
      <c r="C25" s="119" t="n">
        <v>4</v>
      </c>
      <c r="D25" s="216">
        <f>IF(predicciones_pcsaft!E21="","",predicciones_pcsaft!E21*7/$B$5)</f>
        <v/>
      </c>
      <c r="E25" s="216">
        <f>IF(predicciones_pcsaft!C21="","",predicciones_pcsaft!C21*7/$B$4)</f>
        <v/>
      </c>
      <c r="F25" s="216">
        <f>IF(predicciones_pcsaft!D21="","",predicciones_pcsaft!D21*7/Componentes!P8)</f>
        <v/>
      </c>
      <c r="G25" s="217" t="n"/>
      <c r="H25" s="217" t="n"/>
      <c r="I25" s="217" t="n"/>
      <c r="J25" s="217" t="n"/>
      <c r="K25" s="121">
        <f>IF(OR(G25="",H25=""),"",H25-G25)</f>
        <v/>
      </c>
      <c r="L25" s="121">
        <f>IF(OR(H25="",I25=""),"",I25-H25)</f>
        <v/>
      </c>
      <c r="M25" s="121">
        <f>IF(OR(I25="",J25=""),"",J25-I25)</f>
        <v/>
      </c>
      <c r="N25" s="121">
        <f>IF(OR(G25="",J25=""),"",J25-G25)</f>
        <v/>
      </c>
      <c r="O25" s="121">
        <f>IF(N25="","",K25/N25)</f>
        <v/>
      </c>
      <c r="P25" s="121">
        <f>IF(N25="","",L25/N25)</f>
        <v/>
      </c>
      <c r="Q25" s="121">
        <f>IF(N25="","",M25/N25)</f>
        <v/>
      </c>
      <c r="R25" s="218" t="n"/>
    </row>
    <row r="26" ht="15" customHeight="1" s="112">
      <c r="A26" s="119" t="n">
        <v>15</v>
      </c>
      <c r="B26" s="119" t="n"/>
      <c r="C26" s="119" t="n">
        <v>5</v>
      </c>
      <c r="D26" s="216">
        <f>IF(predicciones_pcsaft!E22="","",predicciones_pcsaft!E22*7/$B$5)</f>
        <v/>
      </c>
      <c r="E26" s="216">
        <f>IF(predicciones_pcsaft!C22="","",predicciones_pcsaft!C22*7/$B$4)</f>
        <v/>
      </c>
      <c r="F26" s="216">
        <f>IF(predicciones_pcsaft!D22="","",predicciones_pcsaft!D22*7/Componentes!P8)</f>
        <v/>
      </c>
      <c r="G26" s="217" t="n"/>
      <c r="H26" s="217" t="n"/>
      <c r="I26" s="217" t="n"/>
      <c r="J26" s="217" t="n"/>
      <c r="K26" s="121">
        <f>IF(OR(G26="",H26=""),"",H26-G26)</f>
        <v/>
      </c>
      <c r="L26" s="121">
        <f>IF(OR(H26="",I26=""),"",I26-H26)</f>
        <v/>
      </c>
      <c r="M26" s="121">
        <f>IF(OR(I26="",J26=""),"",J26-I26)</f>
        <v/>
      </c>
      <c r="N26" s="121">
        <f>IF(OR(G26="",J26=""),"",J26-G26)</f>
        <v/>
      </c>
      <c r="O26" s="121">
        <f>IF(N26="","",K26/N26)</f>
        <v/>
      </c>
      <c r="P26" s="121">
        <f>IF(N26="","",L26/N26)</f>
        <v/>
      </c>
      <c r="Q26" s="121">
        <f>IF(N26="","",M26/N26)</f>
        <v/>
      </c>
      <c r="R26" s="218" t="n"/>
    </row>
    <row r="28" ht="15" customHeight="1" s="112">
      <c r="A28" s="119" t="n">
        <v>16</v>
      </c>
      <c r="B28" s="118" t="inlineStr">
        <is>
          <t>octoh</t>
        </is>
      </c>
      <c r="C28" s="119" t="n">
        <v>1</v>
      </c>
      <c r="D28" s="216">
        <f>IF(predicciones_pcsaft!E24="","",predicciones_pcsaft!E24*7/$B$5)</f>
        <v/>
      </c>
      <c r="E28" s="216">
        <f>IF(predicciones_pcsaft!C24="","",predicciones_pcsaft!C24*7/$B$4)</f>
        <v/>
      </c>
      <c r="F28" s="216">
        <f>IF(predicciones_pcsaft!D24="","",predicciones_pcsaft!D24*7/Componentes!P9)</f>
        <v/>
      </c>
      <c r="G28" s="217" t="n"/>
      <c r="H28" s="217" t="n"/>
      <c r="I28" s="217" t="n"/>
      <c r="J28" s="217" t="n"/>
      <c r="K28" s="121">
        <f>IF(OR(G28="",H28=""),"",H28-G28)</f>
        <v/>
      </c>
      <c r="L28" s="121">
        <f>IF(OR(H28="",I28=""),"",I28-H28)</f>
        <v/>
      </c>
      <c r="M28" s="121">
        <f>IF(OR(I28="",J28=""),"",J28-I28)</f>
        <v/>
      </c>
      <c r="N28" s="121">
        <f>IF(OR(G28="",J28=""),"",J28-G28)</f>
        <v/>
      </c>
      <c r="O28" s="121">
        <f>IF(N28="","",K28/N28)</f>
        <v/>
      </c>
      <c r="P28" s="121">
        <f>IF(N28="","",L28/N28)</f>
        <v/>
      </c>
      <c r="Q28" s="121">
        <f>IF(N28="","",M28/N28)</f>
        <v/>
      </c>
      <c r="R28" s="218" t="n"/>
    </row>
    <row r="29" ht="15" customHeight="1" s="112">
      <c r="A29" s="119" t="n">
        <v>17</v>
      </c>
      <c r="B29" s="119" t="n"/>
      <c r="C29" s="119" t="n">
        <v>2</v>
      </c>
      <c r="D29" s="216">
        <f>IF(predicciones_pcsaft!E25="","",predicciones_pcsaft!E25*7/$B$5)</f>
        <v/>
      </c>
      <c r="E29" s="216">
        <f>IF(predicciones_pcsaft!C25="","",predicciones_pcsaft!C25*7/$B$4)</f>
        <v/>
      </c>
      <c r="F29" s="216">
        <f>IF(predicciones_pcsaft!D25="","",predicciones_pcsaft!D25*7/Componentes!P9)</f>
        <v/>
      </c>
      <c r="G29" s="217" t="n"/>
      <c r="H29" s="217" t="n"/>
      <c r="I29" s="217" t="n"/>
      <c r="J29" s="217" t="n"/>
      <c r="K29" s="121">
        <f>IF(OR(G29="",H29=""),"",H29-G29)</f>
        <v/>
      </c>
      <c r="L29" s="121">
        <f>IF(OR(H29="",I29=""),"",I29-H29)</f>
        <v/>
      </c>
      <c r="M29" s="121">
        <f>IF(OR(I29="",J29=""),"",J29-I29)</f>
        <v/>
      </c>
      <c r="N29" s="121">
        <f>IF(OR(G29="",J29=""),"",J29-G29)</f>
        <v/>
      </c>
      <c r="O29" s="121">
        <f>IF(N29="","",K29/N29)</f>
        <v/>
      </c>
      <c r="P29" s="121">
        <f>IF(N29="","",L29/N29)</f>
        <v/>
      </c>
      <c r="Q29" s="121">
        <f>IF(N29="","",M29/N29)</f>
        <v/>
      </c>
      <c r="R29" s="218" t="n"/>
    </row>
    <row r="30" ht="15" customHeight="1" s="112">
      <c r="A30" s="119" t="n">
        <v>18</v>
      </c>
      <c r="B30" s="119" t="n"/>
      <c r="C30" s="119" t="n">
        <v>3</v>
      </c>
      <c r="D30" s="216">
        <f>IF(predicciones_pcsaft!E26="","",predicciones_pcsaft!E26*7/$B$5)</f>
        <v/>
      </c>
      <c r="E30" s="216">
        <f>IF(predicciones_pcsaft!C26="","",predicciones_pcsaft!C26*7/$B$4)</f>
        <v/>
      </c>
      <c r="F30" s="216">
        <f>IF(predicciones_pcsaft!D26="","",predicciones_pcsaft!D26*7/Componentes!P9)</f>
        <v/>
      </c>
      <c r="G30" s="217" t="n"/>
      <c r="H30" s="217" t="n"/>
      <c r="I30" s="217" t="n"/>
      <c r="J30" s="217" t="n"/>
      <c r="K30" s="121">
        <f>IF(OR(G30="",H30=""),"",H30-G30)</f>
        <v/>
      </c>
      <c r="L30" s="121">
        <f>IF(OR(H30="",I30=""),"",I30-H30)</f>
        <v/>
      </c>
      <c r="M30" s="121">
        <f>IF(OR(I30="",J30=""),"",J30-I30)</f>
        <v/>
      </c>
      <c r="N30" s="121">
        <f>IF(OR(G30="",J30=""),"",J30-G30)</f>
        <v/>
      </c>
      <c r="O30" s="121">
        <f>IF(N30="","",K30/N30)</f>
        <v/>
      </c>
      <c r="P30" s="121">
        <f>IF(N30="","",L30/N30)</f>
        <v/>
      </c>
      <c r="Q30" s="121">
        <f>IF(N30="","",M30/N30)</f>
        <v/>
      </c>
      <c r="R30" s="218" t="n"/>
    </row>
    <row r="31" ht="15" customHeight="1" s="112">
      <c r="A31" s="119" t="n">
        <v>19</v>
      </c>
      <c r="B31" s="119" t="n"/>
      <c r="C31" s="119" t="n">
        <v>4</v>
      </c>
      <c r="D31" s="216">
        <f>IF(predicciones_pcsaft!E27="","",predicciones_pcsaft!E27*7/$B$5)</f>
        <v/>
      </c>
      <c r="E31" s="216">
        <f>IF(predicciones_pcsaft!C27="","",predicciones_pcsaft!C27*7/$B$4)</f>
        <v/>
      </c>
      <c r="F31" s="216">
        <f>IF(predicciones_pcsaft!D27="","",predicciones_pcsaft!D27*7/Componentes!P9)</f>
        <v/>
      </c>
      <c r="G31" s="217" t="n"/>
      <c r="H31" s="217" t="n"/>
      <c r="I31" s="217" t="n"/>
      <c r="J31" s="217" t="n"/>
      <c r="K31" s="121">
        <f>IF(OR(G31="",H31=""),"",H31-G31)</f>
        <v/>
      </c>
      <c r="L31" s="121">
        <f>IF(OR(H31="",I31=""),"",I31-H31)</f>
        <v/>
      </c>
      <c r="M31" s="121">
        <f>IF(OR(I31="",J31=""),"",J31-I31)</f>
        <v/>
      </c>
      <c r="N31" s="121">
        <f>IF(OR(G31="",J31=""),"",J31-G31)</f>
        <v/>
      </c>
      <c r="O31" s="121">
        <f>IF(N31="","",K31/N31)</f>
        <v/>
      </c>
      <c r="P31" s="121">
        <f>IF(N31="","",L31/N31)</f>
        <v/>
      </c>
      <c r="Q31" s="121">
        <f>IF(N31="","",M31/N31)</f>
        <v/>
      </c>
      <c r="R31" s="218" t="n"/>
    </row>
    <row r="32" ht="15" customHeight="1" s="112">
      <c r="A32" s="119" t="n">
        <v>20</v>
      </c>
      <c r="B32" s="119" t="n"/>
      <c r="C32" s="119" t="n">
        <v>5</v>
      </c>
      <c r="D32" s="216">
        <f>IF(predicciones_pcsaft!E28="","",predicciones_pcsaft!E28*7/$B$5)</f>
        <v/>
      </c>
      <c r="E32" s="216">
        <f>IF(predicciones_pcsaft!C28="","",predicciones_pcsaft!C28*7/$B$4)</f>
        <v/>
      </c>
      <c r="F32" s="216">
        <f>IF(predicciones_pcsaft!D28="","",predicciones_pcsaft!D28*7/Componentes!P9)</f>
        <v/>
      </c>
      <c r="G32" s="217" t="n"/>
      <c r="H32" s="217" t="n"/>
      <c r="I32" s="217" t="n"/>
      <c r="J32" s="217" t="n"/>
      <c r="K32" s="121">
        <f>IF(OR(G32="",H32=""),"",H32-G32)</f>
        <v/>
      </c>
      <c r="L32" s="121">
        <f>IF(OR(H32="",I32=""),"",I32-H32)</f>
        <v/>
      </c>
      <c r="M32" s="121">
        <f>IF(OR(I32="",J32=""),"",J32-I32)</f>
        <v/>
      </c>
      <c r="N32" s="121">
        <f>IF(OR(G32="",J32=""),"",J32-G32)</f>
        <v/>
      </c>
      <c r="O32" s="121">
        <f>IF(N32="","",K32/N32)</f>
        <v/>
      </c>
      <c r="P32" s="121">
        <f>IF(N32="","",L32/N32)</f>
        <v/>
      </c>
      <c r="Q32" s="121">
        <f>IF(N32="","",M32/N32)</f>
        <v/>
      </c>
      <c r="R32" s="218" t="n"/>
    </row>
    <row r="34" ht="15" customHeight="1" s="112">
      <c r="A34" s="119" t="n">
        <v>21</v>
      </c>
      <c r="B34" s="118" t="inlineStr">
        <is>
          <t>mibk</t>
        </is>
      </c>
      <c r="C34" s="119" t="n">
        <v>1</v>
      </c>
      <c r="D34" s="216">
        <f>IF(predicciones_pcsaft!E30="","",predicciones_pcsaft!E30*7/$B$5)</f>
        <v/>
      </c>
      <c r="E34" s="216">
        <f>IF(predicciones_pcsaft!C30="","",predicciones_pcsaft!C30*7/$B$4)</f>
        <v/>
      </c>
      <c r="F34" s="216">
        <f>IF(predicciones_pcsaft!D30="","",predicciones_pcsaft!D30*7/Componentes!P10)</f>
        <v/>
      </c>
      <c r="G34" s="217" t="n"/>
      <c r="H34" s="217" t="n"/>
      <c r="I34" s="217" t="n"/>
      <c r="J34" s="217" t="n"/>
      <c r="K34" s="121">
        <f>IF(OR(G34="",H34=""),"",H34-G34)</f>
        <v/>
      </c>
      <c r="L34" s="121">
        <f>IF(OR(H34="",I34=""),"",I34-H34)</f>
        <v/>
      </c>
      <c r="M34" s="121">
        <f>IF(OR(I34="",J34=""),"",J34-I34)</f>
        <v/>
      </c>
      <c r="N34" s="121">
        <f>IF(OR(G34="",J34=""),"",J34-G34)</f>
        <v/>
      </c>
      <c r="O34" s="121">
        <f>IF(N34="","",K34/N34)</f>
        <v/>
      </c>
      <c r="P34" s="121">
        <f>IF(N34="","",L34/N34)</f>
        <v/>
      </c>
      <c r="Q34" s="121">
        <f>IF(N34="","",M34/N34)</f>
        <v/>
      </c>
      <c r="R34" s="218" t="n"/>
    </row>
    <row r="35" ht="15" customHeight="1" s="112">
      <c r="A35" s="119" t="n">
        <v>22</v>
      </c>
      <c r="B35" s="119" t="n"/>
      <c r="C35" s="119" t="n">
        <v>2</v>
      </c>
      <c r="D35" s="216">
        <f>IF(predicciones_pcsaft!E31="","",predicciones_pcsaft!E31*7/$B$5)</f>
        <v/>
      </c>
      <c r="E35" s="216">
        <f>IF(predicciones_pcsaft!C31="","",predicciones_pcsaft!C31*7/$B$4)</f>
        <v/>
      </c>
      <c r="F35" s="216">
        <f>IF(predicciones_pcsaft!D31="","",predicciones_pcsaft!D31*7/Componentes!P10)</f>
        <v/>
      </c>
      <c r="G35" s="217" t="n"/>
      <c r="H35" s="217" t="n"/>
      <c r="I35" s="217" t="n"/>
      <c r="J35" s="217" t="n"/>
      <c r="K35" s="121">
        <f>IF(OR(G35="",H35=""),"",H35-G35)</f>
        <v/>
      </c>
      <c r="L35" s="121">
        <f>IF(OR(H35="",I35=""),"",I35-H35)</f>
        <v/>
      </c>
      <c r="M35" s="121">
        <f>IF(OR(I35="",J35=""),"",J35-I35)</f>
        <v/>
      </c>
      <c r="N35" s="121">
        <f>IF(OR(G35="",J35=""),"",J35-G35)</f>
        <v/>
      </c>
      <c r="O35" s="121">
        <f>IF(N35="","",K35/N35)</f>
        <v/>
      </c>
      <c r="P35" s="121">
        <f>IF(N35="","",L35/N35)</f>
        <v/>
      </c>
      <c r="Q35" s="121">
        <f>IF(N35="","",M35/N35)</f>
        <v/>
      </c>
      <c r="R35" s="218" t="n"/>
    </row>
    <row r="36" ht="15" customHeight="1" s="112">
      <c r="A36" s="119" t="n">
        <v>23</v>
      </c>
      <c r="B36" s="119" t="n"/>
      <c r="C36" s="119" t="n">
        <v>3</v>
      </c>
      <c r="D36" s="216">
        <f>IF(predicciones_pcsaft!E32="","",predicciones_pcsaft!E32*7/$B$5)</f>
        <v/>
      </c>
      <c r="E36" s="216">
        <f>IF(predicciones_pcsaft!C32="","",predicciones_pcsaft!C32*7/$B$4)</f>
        <v/>
      </c>
      <c r="F36" s="216">
        <f>IF(predicciones_pcsaft!D32="","",predicciones_pcsaft!D32*7/Componentes!P10)</f>
        <v/>
      </c>
      <c r="G36" s="217" t="n"/>
      <c r="H36" s="217" t="n"/>
      <c r="I36" s="217" t="n"/>
      <c r="J36" s="217" t="n"/>
      <c r="K36" s="121">
        <f>IF(OR(G36="",H36=""),"",H36-G36)</f>
        <v/>
      </c>
      <c r="L36" s="121">
        <f>IF(OR(H36="",I36=""),"",I36-H36)</f>
        <v/>
      </c>
      <c r="M36" s="121">
        <f>IF(OR(I36="",J36=""),"",J36-I36)</f>
        <v/>
      </c>
      <c r="N36" s="121">
        <f>IF(OR(G36="",J36=""),"",J36-G36)</f>
        <v/>
      </c>
      <c r="O36" s="121">
        <f>IF(N36="","",K36/N36)</f>
        <v/>
      </c>
      <c r="P36" s="121">
        <f>IF(N36="","",L36/N36)</f>
        <v/>
      </c>
      <c r="Q36" s="121">
        <f>IF(N36="","",M36/N36)</f>
        <v/>
      </c>
      <c r="R36" s="218" t="n"/>
    </row>
    <row r="37" ht="15" customHeight="1" s="112">
      <c r="A37" s="119" t="n">
        <v>24</v>
      </c>
      <c r="B37" s="119" t="n"/>
      <c r="C37" s="119" t="n">
        <v>4</v>
      </c>
      <c r="D37" s="216">
        <f>IF(predicciones_pcsaft!E33="","",predicciones_pcsaft!E33*7/$B$5)</f>
        <v/>
      </c>
      <c r="E37" s="216">
        <f>IF(predicciones_pcsaft!C33="","",predicciones_pcsaft!C33*7/$B$4)</f>
        <v/>
      </c>
      <c r="F37" s="216">
        <f>IF(predicciones_pcsaft!D33="","",predicciones_pcsaft!D33*7/Componentes!P10)</f>
        <v/>
      </c>
      <c r="G37" s="217" t="n"/>
      <c r="H37" s="217" t="n"/>
      <c r="I37" s="217" t="n"/>
      <c r="J37" s="217" t="n"/>
      <c r="K37" s="121">
        <f>IF(OR(G37="",H37=""),"",H37-G37)</f>
        <v/>
      </c>
      <c r="L37" s="121">
        <f>IF(OR(H37="",I37=""),"",I37-H37)</f>
        <v/>
      </c>
      <c r="M37" s="121">
        <f>IF(OR(I37="",J37=""),"",J37-I37)</f>
        <v/>
      </c>
      <c r="N37" s="121">
        <f>IF(OR(G37="",J37=""),"",J37-G37)</f>
        <v/>
      </c>
      <c r="O37" s="121">
        <f>IF(N37="","",K37/N37)</f>
        <v/>
      </c>
      <c r="P37" s="121">
        <f>IF(N37="","",L37/N37)</f>
        <v/>
      </c>
      <c r="Q37" s="121">
        <f>IF(N37="","",M37/N37)</f>
        <v/>
      </c>
      <c r="R37" s="218" t="n"/>
    </row>
    <row r="38" ht="15" customHeight="1" s="112">
      <c r="A38" s="119" t="n">
        <v>25</v>
      </c>
      <c r="B38" s="119" t="n"/>
      <c r="C38" s="119" t="n">
        <v>5</v>
      </c>
      <c r="D38" s="216">
        <f>IF(predicciones_pcsaft!E34="","",predicciones_pcsaft!E34*7/$B$5)</f>
        <v/>
      </c>
      <c r="E38" s="216">
        <f>IF(predicciones_pcsaft!C34="","",predicciones_pcsaft!C34*7/$B$4)</f>
        <v/>
      </c>
      <c r="F38" s="216">
        <f>IF(predicciones_pcsaft!D34="","",predicciones_pcsaft!D34*7/Componentes!P10)</f>
        <v/>
      </c>
      <c r="G38" s="217" t="n"/>
      <c r="H38" s="217" t="n"/>
      <c r="I38" s="217" t="n"/>
      <c r="J38" s="217" t="n"/>
      <c r="K38" s="121">
        <f>IF(OR(G38="",H38=""),"",H38-G38)</f>
        <v/>
      </c>
      <c r="L38" s="121">
        <f>IF(OR(H38="",I38=""),"",I38-H38)</f>
        <v/>
      </c>
      <c r="M38" s="121">
        <f>IF(OR(I38="",J38=""),"",J38-I38)</f>
        <v/>
      </c>
      <c r="N38" s="121">
        <f>IF(OR(G38="",J38=""),"",J38-G38)</f>
        <v/>
      </c>
      <c r="O38" s="121">
        <f>IF(N38="","",K38/N38)</f>
        <v/>
      </c>
      <c r="P38" s="121">
        <f>IF(N38="","",L38/N38)</f>
        <v/>
      </c>
      <c r="Q38" s="121">
        <f>IF(N38="","",M38/N38)</f>
        <v/>
      </c>
      <c r="R38" s="218" t="n"/>
    </row>
    <row r="40" ht="15" customHeight="1" s="112">
      <c r="A40" s="119" t="n">
        <v>26</v>
      </c>
      <c r="B40" s="118" t="inlineStr">
        <is>
          <t>2octanone</t>
        </is>
      </c>
      <c r="C40" s="119" t="n">
        <v>1</v>
      </c>
      <c r="D40" s="216">
        <f>IF(predicciones_pcsaft!E36="","",predicciones_pcsaft!E36*7/$B$5)</f>
        <v/>
      </c>
      <c r="E40" s="216">
        <f>IF(predicciones_pcsaft!C36="","",predicciones_pcsaft!C36*7/$B$4)</f>
        <v/>
      </c>
      <c r="F40" s="216">
        <f>IF(predicciones_pcsaft!D36="","",predicciones_pcsaft!D36*7/Componentes!P11)</f>
        <v/>
      </c>
      <c r="G40" s="217" t="n"/>
      <c r="H40" s="217" t="n"/>
      <c r="I40" s="217" t="n"/>
      <c r="J40" s="217" t="n"/>
      <c r="K40" s="121">
        <f>IF(OR(G40="",H40=""),"",H40-G40)</f>
        <v/>
      </c>
      <c r="L40" s="121">
        <f>IF(OR(H40="",I40=""),"",I40-H40)</f>
        <v/>
      </c>
      <c r="M40" s="121">
        <f>IF(OR(I40="",J40=""),"",J40-I40)</f>
        <v/>
      </c>
      <c r="N40" s="121">
        <f>IF(OR(G40="",J40=""),"",J40-G40)</f>
        <v/>
      </c>
      <c r="O40" s="121">
        <f>IF(N40="","",K40/N40)</f>
        <v/>
      </c>
      <c r="P40" s="121">
        <f>IF(N40="","",L40/N40)</f>
        <v/>
      </c>
      <c r="Q40" s="121">
        <f>IF(N40="","",M40/N40)</f>
        <v/>
      </c>
      <c r="R40" s="218" t="n"/>
    </row>
    <row r="41" ht="15" customHeight="1" s="112">
      <c r="A41" s="119" t="n">
        <v>27</v>
      </c>
      <c r="B41" s="119" t="n"/>
      <c r="C41" s="119" t="n">
        <v>2</v>
      </c>
      <c r="D41" s="216">
        <f>IF(predicciones_pcsaft!E37="","",predicciones_pcsaft!E37*7/$B$5)</f>
        <v/>
      </c>
      <c r="E41" s="216">
        <f>IF(predicciones_pcsaft!C37="","",predicciones_pcsaft!C37*7/$B$4)</f>
        <v/>
      </c>
      <c r="F41" s="216">
        <f>IF(predicciones_pcsaft!D37="","",predicciones_pcsaft!D37*7/Componentes!P11)</f>
        <v/>
      </c>
      <c r="G41" s="217" t="n"/>
      <c r="H41" s="217" t="n"/>
      <c r="I41" s="217" t="n"/>
      <c r="J41" s="217" t="n"/>
      <c r="K41" s="121">
        <f>IF(OR(G41="",H41=""),"",H41-G41)</f>
        <v/>
      </c>
      <c r="L41" s="121">
        <f>IF(OR(H41="",I41=""),"",I41-H41)</f>
        <v/>
      </c>
      <c r="M41" s="121">
        <f>IF(OR(I41="",J41=""),"",J41-I41)</f>
        <v/>
      </c>
      <c r="N41" s="121">
        <f>IF(OR(G41="",J41=""),"",J41-G41)</f>
        <v/>
      </c>
      <c r="O41" s="121">
        <f>IF(N41="","",K41/N41)</f>
        <v/>
      </c>
      <c r="P41" s="121">
        <f>IF(N41="","",L41/N41)</f>
        <v/>
      </c>
      <c r="Q41" s="121">
        <f>IF(N41="","",M41/N41)</f>
        <v/>
      </c>
      <c r="R41" s="218" t="n"/>
    </row>
    <row r="42" ht="15" customHeight="1" s="112">
      <c r="A42" s="119" t="n">
        <v>28</v>
      </c>
      <c r="B42" s="119" t="n"/>
      <c r="C42" s="119" t="n">
        <v>3</v>
      </c>
      <c r="D42" s="216">
        <f>IF(predicciones_pcsaft!E38="","",predicciones_pcsaft!E38*7/$B$5)</f>
        <v/>
      </c>
      <c r="E42" s="216">
        <f>IF(predicciones_pcsaft!C38="","",predicciones_pcsaft!C38*7/$B$4)</f>
        <v/>
      </c>
      <c r="F42" s="216">
        <f>IF(predicciones_pcsaft!D38="","",predicciones_pcsaft!D38*7/Componentes!P11)</f>
        <v/>
      </c>
      <c r="G42" s="217" t="n"/>
      <c r="H42" s="217" t="n"/>
      <c r="I42" s="217" t="n"/>
      <c r="J42" s="217" t="n"/>
      <c r="K42" s="121">
        <f>IF(OR(G42="",H42=""),"",H42-G42)</f>
        <v/>
      </c>
      <c r="L42" s="121">
        <f>IF(OR(H42="",I42=""),"",I42-H42)</f>
        <v/>
      </c>
      <c r="M42" s="121">
        <f>IF(OR(I42="",J42=""),"",J42-I42)</f>
        <v/>
      </c>
      <c r="N42" s="121">
        <f>IF(OR(G42="",J42=""),"",J42-G42)</f>
        <v/>
      </c>
      <c r="O42" s="121">
        <f>IF(N42="","",K42/N42)</f>
        <v/>
      </c>
      <c r="P42" s="121">
        <f>IF(N42="","",L42/N42)</f>
        <v/>
      </c>
      <c r="Q42" s="121">
        <f>IF(N42="","",M42/N42)</f>
        <v/>
      </c>
      <c r="R42" s="218" t="n"/>
    </row>
    <row r="43" ht="15" customHeight="1" s="112">
      <c r="A43" s="119" t="n">
        <v>29</v>
      </c>
      <c r="B43" s="119" t="n"/>
      <c r="C43" s="119" t="n">
        <v>4</v>
      </c>
      <c r="D43" s="216">
        <f>IF(predicciones_pcsaft!E39="","",predicciones_pcsaft!E39*7/$B$5)</f>
        <v/>
      </c>
      <c r="E43" s="216">
        <f>IF(predicciones_pcsaft!C39="","",predicciones_pcsaft!C39*7/$B$4)</f>
        <v/>
      </c>
      <c r="F43" s="216">
        <f>IF(predicciones_pcsaft!D39="","",predicciones_pcsaft!D39*7/Componentes!P11)</f>
        <v/>
      </c>
      <c r="G43" s="217" t="n"/>
      <c r="H43" s="217" t="n"/>
      <c r="I43" s="217" t="n"/>
      <c r="J43" s="217" t="n"/>
      <c r="K43" s="121">
        <f>IF(OR(G43="",H43=""),"",H43-G43)</f>
        <v/>
      </c>
      <c r="L43" s="121">
        <f>IF(OR(H43="",I43=""),"",I43-H43)</f>
        <v/>
      </c>
      <c r="M43" s="121">
        <f>IF(OR(I43="",J43=""),"",J43-I43)</f>
        <v/>
      </c>
      <c r="N43" s="121">
        <f>IF(OR(G43="",J43=""),"",J43-G43)</f>
        <v/>
      </c>
      <c r="O43" s="121">
        <f>IF(N43="","",K43/N43)</f>
        <v/>
      </c>
      <c r="P43" s="121">
        <f>IF(N43="","",L43/N43)</f>
        <v/>
      </c>
      <c r="Q43" s="121">
        <f>IF(N43="","",M43/N43)</f>
        <v/>
      </c>
      <c r="R43" s="218" t="n"/>
    </row>
    <row r="44" ht="15" customHeight="1" s="112">
      <c r="A44" s="119" t="n">
        <v>30</v>
      </c>
      <c r="B44" s="119" t="n"/>
      <c r="C44" s="119" t="n">
        <v>5</v>
      </c>
      <c r="D44" s="216">
        <f>IF(predicciones_pcsaft!E40="","",predicciones_pcsaft!E40*7/$B$5)</f>
        <v/>
      </c>
      <c r="E44" s="216">
        <f>IF(predicciones_pcsaft!C40="","",predicciones_pcsaft!C40*7/$B$4)</f>
        <v/>
      </c>
      <c r="F44" s="216">
        <f>IF(predicciones_pcsaft!D40="","",predicciones_pcsaft!D40*7/Componentes!P11)</f>
        <v/>
      </c>
      <c r="G44" s="217" t="n"/>
      <c r="H44" s="217" t="n"/>
      <c r="I44" s="217" t="n"/>
      <c r="J44" s="217" t="n"/>
      <c r="K44" s="121">
        <f>IF(OR(G44="",H44=""),"",H44-G44)</f>
        <v/>
      </c>
      <c r="L44" s="121">
        <f>IF(OR(H44="",I44=""),"",I44-H44)</f>
        <v/>
      </c>
      <c r="M44" s="121">
        <f>IF(OR(I44="",J44=""),"",J44-I44)</f>
        <v/>
      </c>
      <c r="N44" s="121">
        <f>IF(OR(G44="",J44=""),"",J44-G44)</f>
        <v/>
      </c>
      <c r="O44" s="121">
        <f>IF(N44="","",K44/N44)</f>
        <v/>
      </c>
      <c r="P44" s="121">
        <f>IF(N44="","",L44/N44)</f>
        <v/>
      </c>
      <c r="Q44" s="121">
        <f>IF(N44="","",M44/N44)</f>
        <v/>
      </c>
      <c r="R44" s="2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5" ySplit="9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H7" activeCellId="0" sqref="H7"/>
    </sheetView>
  </sheetViews>
  <sheetFormatPr baseColWidth="8" defaultColWidth="8.54296875" defaultRowHeight="15" customHeight="0" zeroHeight="0" outlineLevelRow="0"/>
  <cols>
    <col width="5" customWidth="1" style="111" min="1" max="1"/>
    <col width="12" customWidth="1" style="111" min="2" max="2"/>
    <col width="10" customWidth="1" style="111" min="3" max="4"/>
    <col width="5" customWidth="1" style="111" min="5" max="5"/>
    <col width="10" customWidth="1" style="111" min="6" max="6"/>
    <col width="11" customWidth="1" style="111" min="7" max="17"/>
    <col width="9" customWidth="1" style="111" min="18" max="20"/>
    <col width="22" customWidth="1" style="111" min="21" max="21"/>
  </cols>
  <sheetData>
    <row r="1" ht="15.75" customHeight="1" s="112">
      <c r="A1" s="205" t="inlineStr">
        <is>
          <t>LAB SHEET — 2-phenylethanol + DES + Water</t>
        </is>
      </c>
    </row>
    <row r="2" ht="15" customHeight="1" s="112">
      <c r="A2" s="206" t="inlineStr">
        <is>
          <t>Add in order: tube → water → aroma → DES. Record cumulative balance reading after each addition.</t>
        </is>
      </c>
    </row>
    <row r="4" ht="15" customHeight="1" s="112">
      <c r="A4" s="207" t="inlineStr">
        <is>
          <t>ρ_aroma (g/mL):</t>
        </is>
      </c>
      <c r="B4" s="208">
        <f>Componentes!P4</f>
        <v/>
      </c>
      <c r="C4" s="206" t="inlineStr">
        <is>
          <t>2-phenylethanol</t>
        </is>
      </c>
    </row>
    <row r="5" ht="15" customHeight="1" s="112">
      <c r="A5" s="207" t="inlineStr">
        <is>
          <t>ρ_water (g/mL):</t>
        </is>
      </c>
      <c r="B5" s="209" t="n">
        <v>0.997</v>
      </c>
    </row>
    <row r="7" ht="15" customHeight="1" s="112">
      <c r="A7" s="210" t="n"/>
      <c r="B7" s="211" t="inlineStr">
        <is>
          <t>Pipetting guide (from predictions)</t>
        </is>
      </c>
      <c r="C7" s="212" t="n"/>
      <c r="D7" s="212" t="n"/>
      <c r="E7" s="213" t="n"/>
      <c r="F7" s="211" t="inlineStr">
        <is>
          <t>Record on balance</t>
        </is>
      </c>
      <c r="G7" s="212" t="n"/>
      <c r="H7" s="212" t="n"/>
      <c r="I7" s="214" t="n"/>
      <c r="J7" s="211" t="inlineStr">
        <is>
          <t>Auto-calculated by difference</t>
        </is>
      </c>
      <c r="K7" s="212" t="n"/>
      <c r="L7" s="212" t="n"/>
      <c r="M7" s="212" t="n"/>
      <c r="N7" s="212" t="n"/>
      <c r="O7" s="212" t="n"/>
      <c r="P7" s="212" t="n"/>
      <c r="Q7" s="212" t="n"/>
      <c r="R7" s="212" t="n"/>
      <c r="S7" s="212" t="n"/>
      <c r="T7" s="212" t="n"/>
      <c r="U7" s="212" t="n"/>
    </row>
    <row r="9" ht="23.25" customHeight="1" s="112">
      <c r="A9" s="215" t="inlineStr">
        <is>
          <t>#</t>
        </is>
      </c>
      <c r="B9" s="215" t="inlineStr">
        <is>
          <t>DES</t>
        </is>
      </c>
      <c r="C9" s="215" t="inlineStr">
        <is>
          <t>HBA</t>
        </is>
      </c>
      <c r="D9" s="215" t="inlineStr">
        <is>
          <t>HBD</t>
        </is>
      </c>
      <c r="E9" s="215" t="inlineStr">
        <is>
          <t>TL#</t>
        </is>
      </c>
      <c r="F9" s="215" t="inlineStr">
        <is>
          <t>ρ_DES est
(g/mL)</t>
        </is>
      </c>
      <c r="G9" s="215" t="inlineStr">
        <is>
          <t>V_water
est (mL)</t>
        </is>
      </c>
      <c r="H9" s="215" t="inlineStr">
        <is>
          <t>V_aroma
est (mL)</t>
        </is>
      </c>
      <c r="I9" s="215" t="inlineStr">
        <is>
          <t>V_DES
est (mL)</t>
        </is>
      </c>
      <c r="J9" s="215" t="inlineStr">
        <is>
          <t>W_tube
(g)</t>
        </is>
      </c>
      <c r="K9" s="215" t="inlineStr">
        <is>
          <t>W +water
(g)</t>
        </is>
      </c>
      <c r="L9" s="215" t="inlineStr">
        <is>
          <t>W +aroma
(g)</t>
        </is>
      </c>
      <c r="M9" s="215" t="inlineStr">
        <is>
          <t>W +DES
(g)</t>
        </is>
      </c>
      <c r="N9" s="215" t="inlineStr">
        <is>
          <t>m_water
(g)</t>
        </is>
      </c>
      <c r="O9" s="215" t="inlineStr">
        <is>
          <t>m_aroma
(g)</t>
        </is>
      </c>
      <c r="P9" s="215" t="inlineStr">
        <is>
          <t>m_DES
(g)</t>
        </is>
      </c>
      <c r="Q9" s="215" t="inlineStr">
        <is>
          <t>m_total
(g)</t>
        </is>
      </c>
      <c r="R9" s="215" t="inlineStr">
        <is>
          <t>w_water</t>
        </is>
      </c>
      <c r="S9" s="215" t="inlineStr">
        <is>
          <t>w_aroma</t>
        </is>
      </c>
      <c r="T9" s="215" t="inlineStr">
        <is>
          <t>w_DES</t>
        </is>
      </c>
      <c r="U9" s="215" t="inlineStr">
        <is>
          <t>Notes</t>
        </is>
      </c>
    </row>
    <row r="10" ht="15" customHeight="1" s="112">
      <c r="A10" s="119" t="n">
        <v>1</v>
      </c>
      <c r="B10" s="118" t="inlineStr">
        <is>
          <t>ThyCar</t>
        </is>
      </c>
      <c r="C10" s="119" t="inlineStr">
        <is>
          <t>Thymol</t>
        </is>
      </c>
      <c r="D10" s="119" t="inlineStr">
        <is>
          <t>Carvone</t>
        </is>
      </c>
      <c r="E10" s="119" t="n">
        <v>1</v>
      </c>
      <c r="F10" s="121">
        <f>(Componentes!AB12/(Componentes!AB12+Componentes!AB13))*Componentes!P12+(Componentes!AB13/(Componentes!AB12+Componentes!AB13))*Componentes!P13</f>
        <v/>
      </c>
      <c r="G10" s="219">
        <f>IF('2-phenylethanol_DES'!I6="","",'2-phenylethanol_DES'!I6*7/$B$5)</f>
        <v/>
      </c>
      <c r="H10" s="219">
        <f>IF('2-phenylethanol_DES'!G6="","",'2-phenylethanol_DES'!G6*7/$B$4)</f>
        <v/>
      </c>
      <c r="I10" s="219">
        <f>IF('2-phenylethanol_DES'!H6="","",'2-phenylethanol_DES'!H6*7/F10)</f>
        <v/>
      </c>
      <c r="J10" s="217" t="n"/>
      <c r="K10" s="217" t="n"/>
      <c r="L10" s="217" t="n"/>
      <c r="M10" s="217" t="n"/>
      <c r="N10" s="121">
        <f>IF(OR(J10="",K10=""),"",K10-J10)</f>
        <v/>
      </c>
      <c r="O10" s="121">
        <f>IF(OR(K10="",L10=""),"",L10-K10)</f>
        <v/>
      </c>
      <c r="P10" s="121">
        <f>IF(OR(L10="",M10=""),"",M10-L10)</f>
        <v/>
      </c>
      <c r="Q10" s="121">
        <f>IF(OR(J10="",M10=""),"",M10-J10)</f>
        <v/>
      </c>
      <c r="R10" s="121">
        <f>IF(Q10="","",N10/Q10)</f>
        <v/>
      </c>
      <c r="S10" s="121">
        <f>IF(Q10="","",O10/Q10)</f>
        <v/>
      </c>
      <c r="T10" s="121">
        <f>IF(Q10="","",P10/Q10)</f>
        <v/>
      </c>
      <c r="U10" s="218" t="n"/>
    </row>
    <row r="11" ht="15" customHeight="1" s="112">
      <c r="A11" s="119" t="n">
        <v>2</v>
      </c>
      <c r="B11" s="119" t="n"/>
      <c r="C11" s="119" t="n"/>
      <c r="D11" s="119" t="n"/>
      <c r="E11" s="119" t="n">
        <v>2</v>
      </c>
      <c r="F11" s="121">
        <f>(Componentes!AB12/(Componentes!AB12+Componentes!AB13))*Componentes!P12+(Componentes!AB13/(Componentes!AB12+Componentes!AB13))*Componentes!P13</f>
        <v/>
      </c>
      <c r="G11" s="219">
        <f>IF('2-phenylethanol_DES'!I7="","",'2-phenylethanol_DES'!I7*7/$B$5)</f>
        <v/>
      </c>
      <c r="H11" s="219">
        <f>IF('2-phenylethanol_DES'!G7="","",'2-phenylethanol_DES'!G7*7/$B$4)</f>
        <v/>
      </c>
      <c r="I11" s="219">
        <f>IF('2-phenylethanol_DES'!H7="","",'2-phenylethanol_DES'!H7*7/F11)</f>
        <v/>
      </c>
      <c r="J11" s="217" t="n"/>
      <c r="K11" s="217" t="n"/>
      <c r="L11" s="217" t="n"/>
      <c r="M11" s="217" t="n"/>
      <c r="N11" s="121">
        <f>IF(OR(J11="",K11=""),"",K11-J11)</f>
        <v/>
      </c>
      <c r="O11" s="121">
        <f>IF(OR(K11="",L11=""),"",L11-K11)</f>
        <v/>
      </c>
      <c r="P11" s="121">
        <f>IF(OR(L11="",M11=""),"",M11-L11)</f>
        <v/>
      </c>
      <c r="Q11" s="121">
        <f>IF(OR(J11="",M11=""),"",M11-J11)</f>
        <v/>
      </c>
      <c r="R11" s="121">
        <f>IF(Q11="","",N11/Q11)</f>
        <v/>
      </c>
      <c r="S11" s="121">
        <f>IF(Q11="","",O11/Q11)</f>
        <v/>
      </c>
      <c r="T11" s="121">
        <f>IF(Q11="","",P11/Q11)</f>
        <v/>
      </c>
      <c r="U11" s="218" t="n"/>
    </row>
    <row r="12" ht="15" customHeight="1" s="112">
      <c r="A12" s="119" t="n">
        <v>3</v>
      </c>
      <c r="B12" s="119" t="n"/>
      <c r="C12" s="119" t="n"/>
      <c r="D12" s="119" t="n"/>
      <c r="E12" s="119" t="n">
        <v>3</v>
      </c>
      <c r="F12" s="121">
        <f>(Componentes!AB12/(Componentes!AB12+Componentes!AB13))*Componentes!P12+(Componentes!AB13/(Componentes!AB12+Componentes!AB13))*Componentes!P13</f>
        <v/>
      </c>
      <c r="G12" s="219">
        <f>IF('2-phenylethanol_DES'!I8="","",'2-phenylethanol_DES'!I8*7/$B$5)</f>
        <v/>
      </c>
      <c r="H12" s="219">
        <f>IF('2-phenylethanol_DES'!G8="","",'2-phenylethanol_DES'!G8*7/$B$4)</f>
        <v/>
      </c>
      <c r="I12" s="219">
        <f>IF('2-phenylethanol_DES'!H8="","",'2-phenylethanol_DES'!H8*7/F12)</f>
        <v/>
      </c>
      <c r="J12" s="217" t="n"/>
      <c r="K12" s="217" t="n"/>
      <c r="L12" s="217" t="n"/>
      <c r="M12" s="217" t="n"/>
      <c r="N12" s="121">
        <f>IF(OR(J12="",K12=""),"",K12-J12)</f>
        <v/>
      </c>
      <c r="O12" s="121">
        <f>IF(OR(K12="",L12=""),"",L12-K12)</f>
        <v/>
      </c>
      <c r="P12" s="121">
        <f>IF(OR(L12="",M12=""),"",M12-L12)</f>
        <v/>
      </c>
      <c r="Q12" s="121">
        <f>IF(OR(J12="",M12=""),"",M12-J12)</f>
        <v/>
      </c>
      <c r="R12" s="121">
        <f>IF(Q12="","",N12/Q12)</f>
        <v/>
      </c>
      <c r="S12" s="121">
        <f>IF(Q12="","",O12/Q12)</f>
        <v/>
      </c>
      <c r="T12" s="121">
        <f>IF(Q12="","",P12/Q12)</f>
        <v/>
      </c>
      <c r="U12" s="218" t="n"/>
    </row>
    <row r="13" ht="15" customHeight="1" s="112">
      <c r="A13" s="119" t="n">
        <v>4</v>
      </c>
      <c r="B13" s="119" t="n"/>
      <c r="C13" s="119" t="n"/>
      <c r="D13" s="119" t="n"/>
      <c r="E13" s="119" t="n">
        <v>4</v>
      </c>
      <c r="F13" s="121">
        <f>(Componentes!AB12/(Componentes!AB12+Componentes!AB13))*Componentes!P12+(Componentes!AB13/(Componentes!AB12+Componentes!AB13))*Componentes!P13</f>
        <v/>
      </c>
      <c r="G13" s="219">
        <f>IF('2-phenylethanol_DES'!I9="","",'2-phenylethanol_DES'!I9*7/$B$5)</f>
        <v/>
      </c>
      <c r="H13" s="219">
        <f>IF('2-phenylethanol_DES'!G9="","",'2-phenylethanol_DES'!G9*7/$B$4)</f>
        <v/>
      </c>
      <c r="I13" s="219">
        <f>IF('2-phenylethanol_DES'!H9="","",'2-phenylethanol_DES'!H9*7/F13)</f>
        <v/>
      </c>
      <c r="J13" s="217" t="n"/>
      <c r="K13" s="217" t="n"/>
      <c r="L13" s="217" t="n"/>
      <c r="M13" s="217" t="n"/>
      <c r="N13" s="121">
        <f>IF(OR(J13="",K13=""),"",K13-J13)</f>
        <v/>
      </c>
      <c r="O13" s="121">
        <f>IF(OR(K13="",L13=""),"",L13-K13)</f>
        <v/>
      </c>
      <c r="P13" s="121">
        <f>IF(OR(L13="",M13=""),"",M13-L13)</f>
        <v/>
      </c>
      <c r="Q13" s="121">
        <f>IF(OR(J13="",M13=""),"",M13-J13)</f>
        <v/>
      </c>
      <c r="R13" s="121">
        <f>IF(Q13="","",N13/Q13)</f>
        <v/>
      </c>
      <c r="S13" s="121">
        <f>IF(Q13="","",O13/Q13)</f>
        <v/>
      </c>
      <c r="T13" s="121">
        <f>IF(Q13="","",P13/Q13)</f>
        <v/>
      </c>
      <c r="U13" s="218" t="n"/>
    </row>
    <row r="14" ht="15" customHeight="1" s="112">
      <c r="A14" s="119" t="n">
        <v>5</v>
      </c>
      <c r="B14" s="119" t="n"/>
      <c r="C14" s="119" t="n"/>
      <c r="D14" s="119" t="n"/>
      <c r="E14" s="119" t="n">
        <v>5</v>
      </c>
      <c r="F14" s="121">
        <f>(Componentes!AB12/(Componentes!AB12+Componentes!AB13))*Componentes!P12+(Componentes!AB13/(Componentes!AB12+Componentes!AB13))*Componentes!P13</f>
        <v/>
      </c>
      <c r="G14" s="219">
        <f>IF('2-phenylethanol_DES'!I10="","",'2-phenylethanol_DES'!I10*7/$B$5)</f>
        <v/>
      </c>
      <c r="H14" s="219">
        <f>IF('2-phenylethanol_DES'!G10="","",'2-phenylethanol_DES'!G10*7/$B$4)</f>
        <v/>
      </c>
      <c r="I14" s="219">
        <f>IF('2-phenylethanol_DES'!H10="","",'2-phenylethanol_DES'!H10*7/F14)</f>
        <v/>
      </c>
      <c r="J14" s="217" t="n"/>
      <c r="K14" s="217" t="n"/>
      <c r="L14" s="217" t="n"/>
      <c r="M14" s="217" t="n"/>
      <c r="N14" s="121">
        <f>IF(OR(J14="",K14=""),"",K14-J14)</f>
        <v/>
      </c>
      <c r="O14" s="121">
        <f>IF(OR(K14="",L14=""),"",L14-K14)</f>
        <v/>
      </c>
      <c r="P14" s="121">
        <f>IF(OR(L14="",M14=""),"",M14-L14)</f>
        <v/>
      </c>
      <c r="Q14" s="121">
        <f>IF(OR(J14="",M14=""),"",M14-J14)</f>
        <v/>
      </c>
      <c r="R14" s="121">
        <f>IF(Q14="","",N14/Q14)</f>
        <v/>
      </c>
      <c r="S14" s="121">
        <f>IF(Q14="","",O14/Q14)</f>
        <v/>
      </c>
      <c r="T14" s="121">
        <f>IF(Q14="","",P14/Q14)</f>
        <v/>
      </c>
      <c r="U14" s="218" t="n"/>
    </row>
    <row r="15" ht="15" customHeight="1" s="112">
      <c r="G15" s="220" t="n"/>
      <c r="H15" s="220" t="n"/>
      <c r="I15" s="220" t="n"/>
    </row>
    <row r="16" ht="15" customHeight="1" s="112">
      <c r="A16" s="119" t="n">
        <v>6</v>
      </c>
      <c r="B16" s="118" t="inlineStr">
        <is>
          <t>ThyGer</t>
        </is>
      </c>
      <c r="C16" s="119" t="inlineStr">
        <is>
          <t>Thymol</t>
        </is>
      </c>
      <c r="D16" s="119" t="inlineStr">
        <is>
          <t>Geraniol</t>
        </is>
      </c>
      <c r="E16" s="119" t="n">
        <v>1</v>
      </c>
      <c r="F16" s="121">
        <f>(Componentes!AB12/(Componentes!AB12+Componentes!AB15))*Componentes!P12+(Componentes!AB15/(Componentes!AB12+Componentes!AB15))*Componentes!P15</f>
        <v/>
      </c>
      <c r="G16" s="219">
        <f>IF('2-phenylethanol_DES'!I12="","",'2-phenylethanol_DES'!I12*7/$B$5)</f>
        <v/>
      </c>
      <c r="H16" s="219">
        <f>IF('2-phenylethanol_DES'!G12="","",'2-phenylethanol_DES'!G12*7/$B$4)</f>
        <v/>
      </c>
      <c r="I16" s="219">
        <f>IF('2-phenylethanol_DES'!H12="","",'2-phenylethanol_DES'!H12*7/F16)</f>
        <v/>
      </c>
      <c r="J16" s="217" t="n"/>
      <c r="K16" s="217" t="n"/>
      <c r="L16" s="217" t="n"/>
      <c r="M16" s="217" t="n"/>
      <c r="N16" s="121">
        <f>IF(OR(J16="",K16=""),"",K16-J16)</f>
        <v/>
      </c>
      <c r="O16" s="121">
        <f>IF(OR(K16="",L16=""),"",L16-K16)</f>
        <v/>
      </c>
      <c r="P16" s="121">
        <f>IF(OR(L16="",M16=""),"",M16-L16)</f>
        <v/>
      </c>
      <c r="Q16" s="121">
        <f>IF(OR(J16="",M16=""),"",M16-J16)</f>
        <v/>
      </c>
      <c r="R16" s="121">
        <f>IF(Q16="","",N16/Q16)</f>
        <v/>
      </c>
      <c r="S16" s="121">
        <f>IF(Q16="","",O16/Q16)</f>
        <v/>
      </c>
      <c r="T16" s="121">
        <f>IF(Q16="","",P16/Q16)</f>
        <v/>
      </c>
      <c r="U16" s="218" t="n"/>
    </row>
    <row r="17" ht="15" customHeight="1" s="112">
      <c r="A17" s="119" t="n">
        <v>7</v>
      </c>
      <c r="B17" s="119" t="n"/>
      <c r="C17" s="119" t="n"/>
      <c r="D17" s="119" t="n"/>
      <c r="E17" s="119" t="n">
        <v>2</v>
      </c>
      <c r="F17" s="121">
        <f>(Componentes!AB12/(Componentes!AB12+Componentes!AB15))*Componentes!P12+(Componentes!AB15/(Componentes!AB12+Componentes!AB15))*Componentes!P15</f>
        <v/>
      </c>
      <c r="G17" s="219">
        <f>IF('2-phenylethanol_DES'!I13="","",'2-phenylethanol_DES'!I13*7/$B$5)</f>
        <v/>
      </c>
      <c r="H17" s="219">
        <f>IF('2-phenylethanol_DES'!G13="","",'2-phenylethanol_DES'!G13*7/$B$4)</f>
        <v/>
      </c>
      <c r="I17" s="219">
        <f>IF('2-phenylethanol_DES'!H13="","",'2-phenylethanol_DES'!H13*7/F17)</f>
        <v/>
      </c>
      <c r="J17" s="217" t="n"/>
      <c r="K17" s="217" t="n"/>
      <c r="L17" s="217" t="n"/>
      <c r="M17" s="217" t="n"/>
      <c r="N17" s="121">
        <f>IF(OR(J17="",K17=""),"",K17-J17)</f>
        <v/>
      </c>
      <c r="O17" s="121">
        <f>IF(OR(K17="",L17=""),"",L17-K17)</f>
        <v/>
      </c>
      <c r="P17" s="121">
        <f>IF(OR(L17="",M17=""),"",M17-L17)</f>
        <v/>
      </c>
      <c r="Q17" s="121">
        <f>IF(OR(J17="",M17=""),"",M17-J17)</f>
        <v/>
      </c>
      <c r="R17" s="121">
        <f>IF(Q17="","",N17/Q17)</f>
        <v/>
      </c>
      <c r="S17" s="121">
        <f>IF(Q17="","",O17/Q17)</f>
        <v/>
      </c>
      <c r="T17" s="121">
        <f>IF(Q17="","",P17/Q17)</f>
        <v/>
      </c>
      <c r="U17" s="218" t="n"/>
    </row>
    <row r="18" ht="15" customHeight="1" s="112">
      <c r="A18" s="119" t="n">
        <v>8</v>
      </c>
      <c r="B18" s="119" t="n"/>
      <c r="C18" s="119" t="n"/>
      <c r="D18" s="119" t="n"/>
      <c r="E18" s="119" t="n">
        <v>3</v>
      </c>
      <c r="F18" s="121">
        <f>(Componentes!AB12/(Componentes!AB12+Componentes!AB15))*Componentes!P12+(Componentes!AB15/(Componentes!AB12+Componentes!AB15))*Componentes!P15</f>
        <v/>
      </c>
      <c r="G18" s="219">
        <f>IF('2-phenylethanol_DES'!I14="","",'2-phenylethanol_DES'!I14*7/$B$5)</f>
        <v/>
      </c>
      <c r="H18" s="219">
        <f>IF('2-phenylethanol_DES'!G14="","",'2-phenylethanol_DES'!G14*7/$B$4)</f>
        <v/>
      </c>
      <c r="I18" s="219">
        <f>IF('2-phenylethanol_DES'!H14="","",'2-phenylethanol_DES'!H14*7/F18)</f>
        <v/>
      </c>
      <c r="J18" s="217" t="n"/>
      <c r="K18" s="217" t="n"/>
      <c r="L18" s="217" t="n"/>
      <c r="M18" s="217" t="n"/>
      <c r="N18" s="121">
        <f>IF(OR(J18="",K18=""),"",K18-J18)</f>
        <v/>
      </c>
      <c r="O18" s="121">
        <f>IF(OR(K18="",L18=""),"",L18-K18)</f>
        <v/>
      </c>
      <c r="P18" s="121">
        <f>IF(OR(L18="",M18=""),"",M18-L18)</f>
        <v/>
      </c>
      <c r="Q18" s="121">
        <f>IF(OR(J18="",M18=""),"",M18-J18)</f>
        <v/>
      </c>
      <c r="R18" s="121">
        <f>IF(Q18="","",N18/Q18)</f>
        <v/>
      </c>
      <c r="S18" s="121">
        <f>IF(Q18="","",O18/Q18)</f>
        <v/>
      </c>
      <c r="T18" s="121">
        <f>IF(Q18="","",P18/Q18)</f>
        <v/>
      </c>
      <c r="U18" s="218" t="n"/>
    </row>
    <row r="19" ht="15" customHeight="1" s="112">
      <c r="A19" s="119" t="n">
        <v>9</v>
      </c>
      <c r="B19" s="119" t="n"/>
      <c r="C19" s="119" t="n"/>
      <c r="D19" s="119" t="n"/>
      <c r="E19" s="119" t="n">
        <v>4</v>
      </c>
      <c r="F19" s="121">
        <f>(Componentes!AB12/(Componentes!AB12+Componentes!AB15))*Componentes!P12+(Componentes!AB15/(Componentes!AB12+Componentes!AB15))*Componentes!P15</f>
        <v/>
      </c>
      <c r="G19" s="219">
        <f>IF('2-phenylethanol_DES'!I15="","",'2-phenylethanol_DES'!I15*7/$B$5)</f>
        <v/>
      </c>
      <c r="H19" s="219">
        <f>IF('2-phenylethanol_DES'!G15="","",'2-phenylethanol_DES'!G15*7/$B$4)</f>
        <v/>
      </c>
      <c r="I19" s="219">
        <f>IF('2-phenylethanol_DES'!H15="","",'2-phenylethanol_DES'!H15*7/F19)</f>
        <v/>
      </c>
      <c r="J19" s="217" t="n"/>
      <c r="K19" s="217" t="n"/>
      <c r="L19" s="217" t="n"/>
      <c r="M19" s="217" t="n"/>
      <c r="N19" s="121">
        <f>IF(OR(J19="",K19=""),"",K19-J19)</f>
        <v/>
      </c>
      <c r="O19" s="121">
        <f>IF(OR(K19="",L19=""),"",L19-K19)</f>
        <v/>
      </c>
      <c r="P19" s="121">
        <f>IF(OR(L19="",M19=""),"",M19-L19)</f>
        <v/>
      </c>
      <c r="Q19" s="121">
        <f>IF(OR(J19="",M19=""),"",M19-J19)</f>
        <v/>
      </c>
      <c r="R19" s="121">
        <f>IF(Q19="","",N19/Q19)</f>
        <v/>
      </c>
      <c r="S19" s="121">
        <f>IF(Q19="","",O19/Q19)</f>
        <v/>
      </c>
      <c r="T19" s="121">
        <f>IF(Q19="","",P19/Q19)</f>
        <v/>
      </c>
      <c r="U19" s="218" t="n"/>
    </row>
    <row r="20" ht="15" customHeight="1" s="112">
      <c r="A20" s="119" t="n">
        <v>10</v>
      </c>
      <c r="B20" s="119" t="n"/>
      <c r="C20" s="119" t="n"/>
      <c r="D20" s="119" t="n"/>
      <c r="E20" s="119" t="n">
        <v>5</v>
      </c>
      <c r="F20" s="121">
        <f>(Componentes!AB12/(Componentes!AB12+Componentes!AB15))*Componentes!P12+(Componentes!AB15/(Componentes!AB12+Componentes!AB15))*Componentes!P15</f>
        <v/>
      </c>
      <c r="G20" s="219">
        <f>IF('2-phenylethanol_DES'!I16="","",'2-phenylethanol_DES'!I16*7/$B$5)</f>
        <v/>
      </c>
      <c r="H20" s="219">
        <f>IF('2-phenylethanol_DES'!G16="","",'2-phenylethanol_DES'!G16*7/$B$4)</f>
        <v/>
      </c>
      <c r="I20" s="219">
        <f>IF('2-phenylethanol_DES'!H16="","",'2-phenylethanol_DES'!H16*7/F20)</f>
        <v/>
      </c>
      <c r="J20" s="217" t="n"/>
      <c r="K20" s="217" t="n"/>
      <c r="L20" s="217" t="n"/>
      <c r="M20" s="217" t="n"/>
      <c r="N20" s="121">
        <f>IF(OR(J20="",K20=""),"",K20-J20)</f>
        <v/>
      </c>
      <c r="O20" s="121">
        <f>IF(OR(K20="",L20=""),"",L20-K20)</f>
        <v/>
      </c>
      <c r="P20" s="121">
        <f>IF(OR(L20="",M20=""),"",M20-L20)</f>
        <v/>
      </c>
      <c r="Q20" s="121">
        <f>IF(OR(J20="",M20=""),"",M20-J20)</f>
        <v/>
      </c>
      <c r="R20" s="121">
        <f>IF(Q20="","",N20/Q20)</f>
        <v/>
      </c>
      <c r="S20" s="121">
        <f>IF(Q20="","",O20/Q20)</f>
        <v/>
      </c>
      <c r="T20" s="121">
        <f>IF(Q20="","",P20/Q20)</f>
        <v/>
      </c>
      <c r="U20" s="218" t="n"/>
    </row>
    <row r="21" ht="15" customHeight="1" s="112">
      <c r="G21" s="220" t="n"/>
      <c r="H21" s="220" t="n"/>
      <c r="I21" s="220" t="n"/>
    </row>
    <row r="22" ht="15" customHeight="1" s="112">
      <c r="A22" s="119" t="n">
        <v>11</v>
      </c>
      <c r="B22" s="118" t="inlineStr">
        <is>
          <t>ThyCarvac</t>
        </is>
      </c>
      <c r="C22" s="119" t="inlineStr">
        <is>
          <t>Thymol</t>
        </is>
      </c>
      <c r="D22" s="119" t="inlineStr">
        <is>
          <t>Carvacrol</t>
        </is>
      </c>
      <c r="E22" s="119" t="n">
        <v>1</v>
      </c>
      <c r="F22" s="121">
        <f>(Componentes!AB12/(Componentes!AB12+Componentes!AB16))*Componentes!P12+(Componentes!AB16/(Componentes!AB12+Componentes!AB16))*Componentes!P16</f>
        <v/>
      </c>
      <c r="G22" s="219">
        <f>IF('2-phenylethanol_DES'!I18="","",'2-phenylethanol_DES'!I18*7/$B$5)</f>
        <v/>
      </c>
      <c r="H22" s="219">
        <f>IF('2-phenylethanol_DES'!G18="","",'2-phenylethanol_DES'!G18*7/$B$4)</f>
        <v/>
      </c>
      <c r="I22" s="219">
        <f>IF('2-phenylethanol_DES'!H18="","",'2-phenylethanol_DES'!H18*7/F22)</f>
        <v/>
      </c>
      <c r="J22" s="217" t="n"/>
      <c r="K22" s="217" t="n"/>
      <c r="L22" s="217" t="n"/>
      <c r="M22" s="217" t="n"/>
      <c r="N22" s="121">
        <f>IF(OR(J22="",K22=""),"",K22-J22)</f>
        <v/>
      </c>
      <c r="O22" s="121">
        <f>IF(OR(K22="",L22=""),"",L22-K22)</f>
        <v/>
      </c>
      <c r="P22" s="121">
        <f>IF(OR(L22="",M22=""),"",M22-L22)</f>
        <v/>
      </c>
      <c r="Q22" s="121">
        <f>IF(OR(J22="",M22=""),"",M22-J22)</f>
        <v/>
      </c>
      <c r="R22" s="121">
        <f>IF(Q22="","",N22/Q22)</f>
        <v/>
      </c>
      <c r="S22" s="121">
        <f>IF(Q22="","",O22/Q22)</f>
        <v/>
      </c>
      <c r="T22" s="121">
        <f>IF(Q22="","",P22/Q22)</f>
        <v/>
      </c>
      <c r="U22" s="218" t="n"/>
    </row>
    <row r="23" ht="15" customHeight="1" s="112">
      <c r="A23" s="119" t="n">
        <v>12</v>
      </c>
      <c r="B23" s="119" t="n"/>
      <c r="C23" s="119" t="n"/>
      <c r="D23" s="119" t="n"/>
      <c r="E23" s="119" t="n">
        <v>2</v>
      </c>
      <c r="F23" s="121">
        <f>(Componentes!AB12/(Componentes!AB12+Componentes!AB16))*Componentes!P12+(Componentes!AB16/(Componentes!AB12+Componentes!AB16))*Componentes!P16</f>
        <v/>
      </c>
      <c r="G23" s="219">
        <f>IF('2-phenylethanol_DES'!I19="","",'2-phenylethanol_DES'!I19*7/$B$5)</f>
        <v/>
      </c>
      <c r="H23" s="219">
        <f>IF('2-phenylethanol_DES'!G19="","",'2-phenylethanol_DES'!G19*7/$B$4)</f>
        <v/>
      </c>
      <c r="I23" s="219">
        <f>IF('2-phenylethanol_DES'!H19="","",'2-phenylethanol_DES'!H19*7/F23)</f>
        <v/>
      </c>
      <c r="J23" s="217" t="n"/>
      <c r="K23" s="217" t="n"/>
      <c r="L23" s="217" t="n"/>
      <c r="M23" s="217" t="n"/>
      <c r="N23" s="121">
        <f>IF(OR(J23="",K23=""),"",K23-J23)</f>
        <v/>
      </c>
      <c r="O23" s="121">
        <f>IF(OR(K23="",L23=""),"",L23-K23)</f>
        <v/>
      </c>
      <c r="P23" s="121">
        <f>IF(OR(L23="",M23=""),"",M23-L23)</f>
        <v/>
      </c>
      <c r="Q23" s="121">
        <f>IF(OR(J23="",M23=""),"",M23-J23)</f>
        <v/>
      </c>
      <c r="R23" s="121">
        <f>IF(Q23="","",N23/Q23)</f>
        <v/>
      </c>
      <c r="S23" s="121">
        <f>IF(Q23="","",O23/Q23)</f>
        <v/>
      </c>
      <c r="T23" s="121">
        <f>IF(Q23="","",P23/Q23)</f>
        <v/>
      </c>
      <c r="U23" s="218" t="n"/>
    </row>
    <row r="24" ht="15" customHeight="1" s="112">
      <c r="A24" s="119" t="n">
        <v>13</v>
      </c>
      <c r="B24" s="119" t="n"/>
      <c r="C24" s="119" t="n"/>
      <c r="D24" s="119" t="n"/>
      <c r="E24" s="119" t="n">
        <v>3</v>
      </c>
      <c r="F24" s="121">
        <f>(Componentes!AB12/(Componentes!AB12+Componentes!AB16))*Componentes!P12+(Componentes!AB16/(Componentes!AB12+Componentes!AB16))*Componentes!P16</f>
        <v/>
      </c>
      <c r="G24" s="219">
        <f>IF('2-phenylethanol_DES'!I20="","",'2-phenylethanol_DES'!I20*7/$B$5)</f>
        <v/>
      </c>
      <c r="H24" s="219">
        <f>IF('2-phenylethanol_DES'!G20="","",'2-phenylethanol_DES'!G20*7/$B$4)</f>
        <v/>
      </c>
      <c r="I24" s="219">
        <f>IF('2-phenylethanol_DES'!H20="","",'2-phenylethanol_DES'!H20*7/F24)</f>
        <v/>
      </c>
      <c r="J24" s="217" t="n"/>
      <c r="K24" s="217" t="n"/>
      <c r="L24" s="217" t="n"/>
      <c r="M24" s="217" t="n"/>
      <c r="N24" s="121">
        <f>IF(OR(J24="",K24=""),"",K24-J24)</f>
        <v/>
      </c>
      <c r="O24" s="121">
        <f>IF(OR(K24="",L24=""),"",L24-K24)</f>
        <v/>
      </c>
      <c r="P24" s="121">
        <f>IF(OR(L24="",M24=""),"",M24-L24)</f>
        <v/>
      </c>
      <c r="Q24" s="121">
        <f>IF(OR(J24="",M24=""),"",M24-J24)</f>
        <v/>
      </c>
      <c r="R24" s="121">
        <f>IF(Q24="","",N24/Q24)</f>
        <v/>
      </c>
      <c r="S24" s="121">
        <f>IF(Q24="","",O24/Q24)</f>
        <v/>
      </c>
      <c r="T24" s="121">
        <f>IF(Q24="","",P24/Q24)</f>
        <v/>
      </c>
      <c r="U24" s="218" t="n"/>
    </row>
    <row r="25" ht="15" customHeight="1" s="112">
      <c r="A25" s="119" t="n">
        <v>14</v>
      </c>
      <c r="B25" s="119" t="n"/>
      <c r="C25" s="119" t="n"/>
      <c r="D25" s="119" t="n"/>
      <c r="E25" s="119" t="n">
        <v>4</v>
      </c>
      <c r="F25" s="121">
        <f>(Componentes!AB12/(Componentes!AB12+Componentes!AB16))*Componentes!P12+(Componentes!AB16/(Componentes!AB12+Componentes!AB16))*Componentes!P16</f>
        <v/>
      </c>
      <c r="G25" s="219">
        <f>IF('2-phenylethanol_DES'!I21="","",'2-phenylethanol_DES'!I21*7/$B$5)</f>
        <v/>
      </c>
      <c r="H25" s="219">
        <f>IF('2-phenylethanol_DES'!G21="","",'2-phenylethanol_DES'!G21*7/$B$4)</f>
        <v/>
      </c>
      <c r="I25" s="219">
        <f>IF('2-phenylethanol_DES'!H21="","",'2-phenylethanol_DES'!H21*7/F25)</f>
        <v/>
      </c>
      <c r="J25" s="217" t="n"/>
      <c r="K25" s="217" t="n"/>
      <c r="L25" s="217" t="n"/>
      <c r="M25" s="217" t="n"/>
      <c r="N25" s="121">
        <f>IF(OR(J25="",K25=""),"",K25-J25)</f>
        <v/>
      </c>
      <c r="O25" s="121">
        <f>IF(OR(K25="",L25=""),"",L25-K25)</f>
        <v/>
      </c>
      <c r="P25" s="121">
        <f>IF(OR(L25="",M25=""),"",M25-L25)</f>
        <v/>
      </c>
      <c r="Q25" s="121">
        <f>IF(OR(J25="",M25=""),"",M25-J25)</f>
        <v/>
      </c>
      <c r="R25" s="121">
        <f>IF(Q25="","",N25/Q25)</f>
        <v/>
      </c>
      <c r="S25" s="121">
        <f>IF(Q25="","",O25/Q25)</f>
        <v/>
      </c>
      <c r="T25" s="121">
        <f>IF(Q25="","",P25/Q25)</f>
        <v/>
      </c>
      <c r="U25" s="218" t="n"/>
    </row>
    <row r="26" ht="15" customHeight="1" s="112">
      <c r="A26" s="119" t="n">
        <v>15</v>
      </c>
      <c r="B26" s="119" t="n"/>
      <c r="C26" s="119" t="n"/>
      <c r="D26" s="119" t="n"/>
      <c r="E26" s="119" t="n">
        <v>5</v>
      </c>
      <c r="F26" s="121">
        <f>(Componentes!AB12/(Componentes!AB12+Componentes!AB16))*Componentes!P12+(Componentes!AB16/(Componentes!AB12+Componentes!AB16))*Componentes!P16</f>
        <v/>
      </c>
      <c r="G26" s="219">
        <f>IF('2-phenylethanol_DES'!I22="","",'2-phenylethanol_DES'!I22*7/$B$5)</f>
        <v/>
      </c>
      <c r="H26" s="219">
        <f>IF('2-phenylethanol_DES'!G22="","",'2-phenylethanol_DES'!G22*7/$B$4)</f>
        <v/>
      </c>
      <c r="I26" s="219">
        <f>IF('2-phenylethanol_DES'!H22="","",'2-phenylethanol_DES'!H22*7/F26)</f>
        <v/>
      </c>
      <c r="J26" s="217" t="n"/>
      <c r="K26" s="217" t="n"/>
      <c r="L26" s="217" t="n"/>
      <c r="M26" s="217" t="n"/>
      <c r="N26" s="121">
        <f>IF(OR(J26="",K26=""),"",K26-J26)</f>
        <v/>
      </c>
      <c r="O26" s="121">
        <f>IF(OR(K26="",L26=""),"",L26-K26)</f>
        <v/>
      </c>
      <c r="P26" s="121">
        <f>IF(OR(L26="",M26=""),"",M26-L26)</f>
        <v/>
      </c>
      <c r="Q26" s="121">
        <f>IF(OR(J26="",M26=""),"",M26-J26)</f>
        <v/>
      </c>
      <c r="R26" s="121">
        <f>IF(Q26="","",N26/Q26)</f>
        <v/>
      </c>
      <c r="S26" s="121">
        <f>IF(Q26="","",O26/Q26)</f>
        <v/>
      </c>
      <c r="T26" s="121">
        <f>IF(Q26="","",P26/Q26)</f>
        <v/>
      </c>
      <c r="U26" s="218" t="n"/>
    </row>
    <row r="27" ht="15" customHeight="1" s="112">
      <c r="G27" s="220" t="n"/>
      <c r="H27" s="220" t="n"/>
      <c r="I27" s="220" t="n"/>
    </row>
    <row r="28" ht="15" customHeight="1" s="112">
      <c r="A28" s="119" t="n">
        <v>16</v>
      </c>
      <c r="B28" s="118" t="inlineStr">
        <is>
          <t>ThyEug</t>
        </is>
      </c>
      <c r="C28" s="119" t="inlineStr">
        <is>
          <t>Thymol</t>
        </is>
      </c>
      <c r="D28" s="119" t="inlineStr">
        <is>
          <t>Eugenol</t>
        </is>
      </c>
      <c r="E28" s="119" t="n">
        <v>1</v>
      </c>
      <c r="F28" s="121">
        <f>(Componentes!AB12/(Componentes!AB12+Componentes!AB17))*Componentes!P12+(Componentes!AB17/(Componentes!AB12+Componentes!AB17))*Componentes!P17</f>
        <v/>
      </c>
      <c r="G28" s="219">
        <f>IF('2-phenylethanol_DES'!I24="","",'2-phenylethanol_DES'!I24*7/$B$5)</f>
        <v/>
      </c>
      <c r="H28" s="219">
        <f>IF('2-phenylethanol_DES'!G24="","",'2-phenylethanol_DES'!G24*7/$B$4)</f>
        <v/>
      </c>
      <c r="I28" s="219">
        <f>IF('2-phenylethanol_DES'!H24="","",'2-phenylethanol_DES'!H24*7/F28)</f>
        <v/>
      </c>
      <c r="J28" s="217" t="n"/>
      <c r="K28" s="217" t="n"/>
      <c r="L28" s="217" t="n"/>
      <c r="M28" s="217" t="n"/>
      <c r="N28" s="121">
        <f>IF(OR(J28="",K28=""),"",K28-J28)</f>
        <v/>
      </c>
      <c r="O28" s="121">
        <f>IF(OR(K28="",L28=""),"",L28-K28)</f>
        <v/>
      </c>
      <c r="P28" s="121">
        <f>IF(OR(L28="",M28=""),"",M28-L28)</f>
        <v/>
      </c>
      <c r="Q28" s="121">
        <f>IF(OR(J28="",M28=""),"",M28-J28)</f>
        <v/>
      </c>
      <c r="R28" s="121">
        <f>IF(Q28="","",N28/Q28)</f>
        <v/>
      </c>
      <c r="S28" s="121">
        <f>IF(Q28="","",O28/Q28)</f>
        <v/>
      </c>
      <c r="T28" s="121">
        <f>IF(Q28="","",P28/Q28)</f>
        <v/>
      </c>
      <c r="U28" s="218" t="n"/>
    </row>
    <row r="29" ht="15" customHeight="1" s="112">
      <c r="A29" s="119" t="n">
        <v>17</v>
      </c>
      <c r="B29" s="119" t="n"/>
      <c r="C29" s="119" t="n"/>
      <c r="D29" s="119" t="n"/>
      <c r="E29" s="119" t="n">
        <v>2</v>
      </c>
      <c r="F29" s="121">
        <f>(Componentes!AB12/(Componentes!AB12+Componentes!AB17))*Componentes!P12+(Componentes!AB17/(Componentes!AB12+Componentes!AB17))*Componentes!P17</f>
        <v/>
      </c>
      <c r="G29" s="219">
        <f>IF('2-phenylethanol_DES'!I25="","",'2-phenylethanol_DES'!I25*7/$B$5)</f>
        <v/>
      </c>
      <c r="H29" s="219">
        <f>IF('2-phenylethanol_DES'!G25="","",'2-phenylethanol_DES'!G25*7/$B$4)</f>
        <v/>
      </c>
      <c r="I29" s="219">
        <f>IF('2-phenylethanol_DES'!H25="","",'2-phenylethanol_DES'!H25*7/F29)</f>
        <v/>
      </c>
      <c r="J29" s="217" t="n"/>
      <c r="K29" s="217" t="n"/>
      <c r="L29" s="217" t="n"/>
      <c r="M29" s="217" t="n"/>
      <c r="N29" s="121">
        <f>IF(OR(J29="",K29=""),"",K29-J29)</f>
        <v/>
      </c>
      <c r="O29" s="121">
        <f>IF(OR(K29="",L29=""),"",L29-K29)</f>
        <v/>
      </c>
      <c r="P29" s="121">
        <f>IF(OR(L29="",M29=""),"",M29-L29)</f>
        <v/>
      </c>
      <c r="Q29" s="121">
        <f>IF(OR(J29="",M29=""),"",M29-J29)</f>
        <v/>
      </c>
      <c r="R29" s="121">
        <f>IF(Q29="","",N29/Q29)</f>
        <v/>
      </c>
      <c r="S29" s="121">
        <f>IF(Q29="","",O29/Q29)</f>
        <v/>
      </c>
      <c r="T29" s="121">
        <f>IF(Q29="","",P29/Q29)</f>
        <v/>
      </c>
      <c r="U29" s="218" t="n"/>
    </row>
    <row r="30" ht="15" customHeight="1" s="112">
      <c r="A30" s="119" t="n">
        <v>18</v>
      </c>
      <c r="B30" s="119" t="n"/>
      <c r="C30" s="119" t="n"/>
      <c r="D30" s="119" t="n"/>
      <c r="E30" s="119" t="n">
        <v>3</v>
      </c>
      <c r="F30" s="121">
        <f>(Componentes!AB12/(Componentes!AB12+Componentes!AB17))*Componentes!P12+(Componentes!AB17/(Componentes!AB12+Componentes!AB17))*Componentes!P17</f>
        <v/>
      </c>
      <c r="G30" s="219">
        <f>IF('2-phenylethanol_DES'!I26="","",'2-phenylethanol_DES'!I26*7/$B$5)</f>
        <v/>
      </c>
      <c r="H30" s="219">
        <f>IF('2-phenylethanol_DES'!G26="","",'2-phenylethanol_DES'!G26*7/$B$4)</f>
        <v/>
      </c>
      <c r="I30" s="219">
        <f>IF('2-phenylethanol_DES'!H26="","",'2-phenylethanol_DES'!H26*7/F30)</f>
        <v/>
      </c>
      <c r="J30" s="217" t="n"/>
      <c r="K30" s="217" t="n"/>
      <c r="L30" s="217" t="n"/>
      <c r="M30" s="217" t="n"/>
      <c r="N30" s="121">
        <f>IF(OR(J30="",K30=""),"",K30-J30)</f>
        <v/>
      </c>
      <c r="O30" s="121">
        <f>IF(OR(K30="",L30=""),"",L30-K30)</f>
        <v/>
      </c>
      <c r="P30" s="121">
        <f>IF(OR(L30="",M30=""),"",M30-L30)</f>
        <v/>
      </c>
      <c r="Q30" s="121">
        <f>IF(OR(J30="",M30=""),"",M30-J30)</f>
        <v/>
      </c>
      <c r="R30" s="121">
        <f>IF(Q30="","",N30/Q30)</f>
        <v/>
      </c>
      <c r="S30" s="121">
        <f>IF(Q30="","",O30/Q30)</f>
        <v/>
      </c>
      <c r="T30" s="121">
        <f>IF(Q30="","",P30/Q30)</f>
        <v/>
      </c>
      <c r="U30" s="218" t="n"/>
    </row>
    <row r="31" ht="15" customHeight="1" s="112">
      <c r="A31" s="119" t="n">
        <v>19</v>
      </c>
      <c r="B31" s="119" t="n"/>
      <c r="C31" s="119" t="n"/>
      <c r="D31" s="119" t="n"/>
      <c r="E31" s="119" t="n">
        <v>4</v>
      </c>
      <c r="F31" s="121">
        <f>(Componentes!AB12/(Componentes!AB12+Componentes!AB17))*Componentes!P12+(Componentes!AB17/(Componentes!AB12+Componentes!AB17))*Componentes!P17</f>
        <v/>
      </c>
      <c r="G31" s="219">
        <f>IF('2-phenylethanol_DES'!I27="","",'2-phenylethanol_DES'!I27*7/$B$5)</f>
        <v/>
      </c>
      <c r="H31" s="219">
        <f>IF('2-phenylethanol_DES'!G27="","",'2-phenylethanol_DES'!G27*7/$B$4)</f>
        <v/>
      </c>
      <c r="I31" s="219">
        <f>IF('2-phenylethanol_DES'!H27="","",'2-phenylethanol_DES'!H27*7/F31)</f>
        <v/>
      </c>
      <c r="J31" s="217" t="n"/>
      <c r="K31" s="217" t="n"/>
      <c r="L31" s="217" t="n"/>
      <c r="M31" s="217" t="n"/>
      <c r="N31" s="121">
        <f>IF(OR(J31="",K31=""),"",K31-J31)</f>
        <v/>
      </c>
      <c r="O31" s="121">
        <f>IF(OR(K31="",L31=""),"",L31-K31)</f>
        <v/>
      </c>
      <c r="P31" s="121">
        <f>IF(OR(L31="",M31=""),"",M31-L31)</f>
        <v/>
      </c>
      <c r="Q31" s="121">
        <f>IF(OR(J31="",M31=""),"",M31-J31)</f>
        <v/>
      </c>
      <c r="R31" s="121">
        <f>IF(Q31="","",N31/Q31)</f>
        <v/>
      </c>
      <c r="S31" s="121">
        <f>IF(Q31="","",O31/Q31)</f>
        <v/>
      </c>
      <c r="T31" s="121">
        <f>IF(Q31="","",P31/Q31)</f>
        <v/>
      </c>
      <c r="U31" s="218" t="n"/>
    </row>
    <row r="32" ht="15" customHeight="1" s="112">
      <c r="A32" s="119" t="n">
        <v>20</v>
      </c>
      <c r="B32" s="119" t="n"/>
      <c r="C32" s="119" t="n"/>
      <c r="D32" s="119" t="n"/>
      <c r="E32" s="119" t="n">
        <v>5</v>
      </c>
      <c r="F32" s="121">
        <f>(Componentes!AB12/(Componentes!AB12+Componentes!AB17))*Componentes!P12+(Componentes!AB17/(Componentes!AB12+Componentes!AB17))*Componentes!P17</f>
        <v/>
      </c>
      <c r="G32" s="219">
        <f>IF('2-phenylethanol_DES'!I28="","",'2-phenylethanol_DES'!I28*7/$B$5)</f>
        <v/>
      </c>
      <c r="H32" s="219">
        <f>IF('2-phenylethanol_DES'!G28="","",'2-phenylethanol_DES'!G28*7/$B$4)</f>
        <v/>
      </c>
      <c r="I32" s="219">
        <f>IF('2-phenylethanol_DES'!H28="","",'2-phenylethanol_DES'!H28*7/F32)</f>
        <v/>
      </c>
      <c r="J32" s="217" t="n"/>
      <c r="K32" s="217" t="n"/>
      <c r="L32" s="217" t="n"/>
      <c r="M32" s="217" t="n"/>
      <c r="N32" s="121">
        <f>IF(OR(J32="",K32=""),"",K32-J32)</f>
        <v/>
      </c>
      <c r="O32" s="121">
        <f>IF(OR(K32="",L32=""),"",L32-K32)</f>
        <v/>
      </c>
      <c r="P32" s="121">
        <f>IF(OR(L32="",M32=""),"",M32-L32)</f>
        <v/>
      </c>
      <c r="Q32" s="121">
        <f>IF(OR(J32="",M32=""),"",M32-J32)</f>
        <v/>
      </c>
      <c r="R32" s="121">
        <f>IF(Q32="","",N32/Q32)</f>
        <v/>
      </c>
      <c r="S32" s="121">
        <f>IF(Q32="","",O32/Q32)</f>
        <v/>
      </c>
      <c r="T32" s="121">
        <f>IF(Q32="","",P32/Q32)</f>
        <v/>
      </c>
      <c r="U32" s="218" t="n"/>
    </row>
    <row r="33" ht="15" customHeight="1" s="112">
      <c r="G33" s="220" t="n"/>
      <c r="H33" s="220" t="n"/>
      <c r="I33" s="220" t="n"/>
    </row>
    <row r="34" ht="15" customHeight="1" s="112">
      <c r="A34" s="119" t="n">
        <v>21</v>
      </c>
      <c r="B34" s="118" t="inlineStr">
        <is>
          <t>ThyCam</t>
        </is>
      </c>
      <c r="C34" s="119" t="inlineStr">
        <is>
          <t>Thymol</t>
        </is>
      </c>
      <c r="D34" s="119" t="inlineStr">
        <is>
          <t>Camphor</t>
        </is>
      </c>
      <c r="E34" s="119" t="n">
        <v>1</v>
      </c>
      <c r="F34" s="121">
        <f>(Componentes!AB12/(Componentes!AB12+Componentes!AB14))*Componentes!P12+(Componentes!AB14/(Componentes!AB12+Componentes!AB14))*Componentes!P14</f>
        <v/>
      </c>
      <c r="G34" s="219">
        <f>IF('2-phenylethanol_DES'!I30="","",'2-phenylethanol_DES'!I30*7/$B$5)</f>
        <v/>
      </c>
      <c r="H34" s="219">
        <f>IF('2-phenylethanol_DES'!G30="","",'2-phenylethanol_DES'!G30*7/$B$4)</f>
        <v/>
      </c>
      <c r="I34" s="219">
        <f>IF('2-phenylethanol_DES'!H30="","",'2-phenylethanol_DES'!H30*7/F34)</f>
        <v/>
      </c>
      <c r="J34" s="217" t="n"/>
      <c r="K34" s="217" t="n"/>
      <c r="L34" s="217" t="n"/>
      <c r="M34" s="217" t="n"/>
      <c r="N34" s="121">
        <f>IF(OR(J34="",K34=""),"",K34-J34)</f>
        <v/>
      </c>
      <c r="O34" s="121">
        <f>IF(OR(K34="",L34=""),"",L34-K34)</f>
        <v/>
      </c>
      <c r="P34" s="121">
        <f>IF(OR(L34="",M34=""),"",M34-L34)</f>
        <v/>
      </c>
      <c r="Q34" s="121">
        <f>IF(OR(J34="",M34=""),"",M34-J34)</f>
        <v/>
      </c>
      <c r="R34" s="121">
        <f>IF(Q34="","",N34/Q34)</f>
        <v/>
      </c>
      <c r="S34" s="121">
        <f>IF(Q34="","",O34/Q34)</f>
        <v/>
      </c>
      <c r="T34" s="121">
        <f>IF(Q34="","",P34/Q34)</f>
        <v/>
      </c>
      <c r="U34" s="218" t="n"/>
    </row>
    <row r="35" ht="15" customHeight="1" s="112">
      <c r="A35" s="119" t="n">
        <v>22</v>
      </c>
      <c r="B35" s="119" t="n"/>
      <c r="C35" s="119" t="n"/>
      <c r="D35" s="119" t="n"/>
      <c r="E35" s="119" t="n">
        <v>2</v>
      </c>
      <c r="F35" s="121">
        <f>(Componentes!AB12/(Componentes!AB12+Componentes!AB14))*Componentes!P12+(Componentes!AB14/(Componentes!AB12+Componentes!AB14))*Componentes!P14</f>
        <v/>
      </c>
      <c r="G35" s="219">
        <f>IF('2-phenylethanol_DES'!I31="","",'2-phenylethanol_DES'!I31*7/$B$5)</f>
        <v/>
      </c>
      <c r="H35" s="219">
        <f>IF('2-phenylethanol_DES'!G31="","",'2-phenylethanol_DES'!G31*7/$B$4)</f>
        <v/>
      </c>
      <c r="I35" s="219">
        <f>IF('2-phenylethanol_DES'!H31="","",'2-phenylethanol_DES'!H31*7/F35)</f>
        <v/>
      </c>
      <c r="J35" s="217" t="n"/>
      <c r="K35" s="217" t="n"/>
      <c r="L35" s="217" t="n"/>
      <c r="M35" s="217" t="n"/>
      <c r="N35" s="121">
        <f>IF(OR(J35="",K35=""),"",K35-J35)</f>
        <v/>
      </c>
      <c r="O35" s="121">
        <f>IF(OR(K35="",L35=""),"",L35-K35)</f>
        <v/>
      </c>
      <c r="P35" s="121">
        <f>IF(OR(L35="",M35=""),"",M35-L35)</f>
        <v/>
      </c>
      <c r="Q35" s="121">
        <f>IF(OR(J35="",M35=""),"",M35-J35)</f>
        <v/>
      </c>
      <c r="R35" s="121">
        <f>IF(Q35="","",N35/Q35)</f>
        <v/>
      </c>
      <c r="S35" s="121">
        <f>IF(Q35="","",O35/Q35)</f>
        <v/>
      </c>
      <c r="T35" s="121">
        <f>IF(Q35="","",P35/Q35)</f>
        <v/>
      </c>
      <c r="U35" s="218" t="n"/>
    </row>
    <row r="36" ht="15" customHeight="1" s="112">
      <c r="A36" s="119" t="n">
        <v>23</v>
      </c>
      <c r="B36" s="119" t="n"/>
      <c r="C36" s="119" t="n"/>
      <c r="D36" s="119" t="n"/>
      <c r="E36" s="119" t="n">
        <v>3</v>
      </c>
      <c r="F36" s="121">
        <f>(Componentes!AB12/(Componentes!AB12+Componentes!AB14))*Componentes!P12+(Componentes!AB14/(Componentes!AB12+Componentes!AB14))*Componentes!P14</f>
        <v/>
      </c>
      <c r="G36" s="219">
        <f>IF('2-phenylethanol_DES'!I32="","",'2-phenylethanol_DES'!I32*7/$B$5)</f>
        <v/>
      </c>
      <c r="H36" s="219">
        <f>IF('2-phenylethanol_DES'!G32="","",'2-phenylethanol_DES'!G32*7/$B$4)</f>
        <v/>
      </c>
      <c r="I36" s="219">
        <f>IF('2-phenylethanol_DES'!H32="","",'2-phenylethanol_DES'!H32*7/F36)</f>
        <v/>
      </c>
      <c r="J36" s="217" t="n"/>
      <c r="K36" s="217" t="n"/>
      <c r="L36" s="217" t="n"/>
      <c r="M36" s="217" t="n"/>
      <c r="N36" s="121">
        <f>IF(OR(J36="",K36=""),"",K36-J36)</f>
        <v/>
      </c>
      <c r="O36" s="121">
        <f>IF(OR(K36="",L36=""),"",L36-K36)</f>
        <v/>
      </c>
      <c r="P36" s="121">
        <f>IF(OR(L36="",M36=""),"",M36-L36)</f>
        <v/>
      </c>
      <c r="Q36" s="121">
        <f>IF(OR(J36="",M36=""),"",M36-J36)</f>
        <v/>
      </c>
      <c r="R36" s="121">
        <f>IF(Q36="","",N36/Q36)</f>
        <v/>
      </c>
      <c r="S36" s="121">
        <f>IF(Q36="","",O36/Q36)</f>
        <v/>
      </c>
      <c r="T36" s="121">
        <f>IF(Q36="","",P36/Q36)</f>
        <v/>
      </c>
      <c r="U36" s="218" t="n"/>
    </row>
    <row r="37" ht="15" customHeight="1" s="112">
      <c r="A37" s="119" t="n">
        <v>24</v>
      </c>
      <c r="B37" s="119" t="n"/>
      <c r="C37" s="119" t="n"/>
      <c r="D37" s="119" t="n"/>
      <c r="E37" s="119" t="n">
        <v>4</v>
      </c>
      <c r="F37" s="121">
        <f>(Componentes!AB12/(Componentes!AB12+Componentes!AB14))*Componentes!P12+(Componentes!AB14/(Componentes!AB12+Componentes!AB14))*Componentes!P14</f>
        <v/>
      </c>
      <c r="G37" s="219">
        <f>IF('2-phenylethanol_DES'!I33="","",'2-phenylethanol_DES'!I33*7/$B$5)</f>
        <v/>
      </c>
      <c r="H37" s="219">
        <f>IF('2-phenylethanol_DES'!G33="","",'2-phenylethanol_DES'!G33*7/$B$4)</f>
        <v/>
      </c>
      <c r="I37" s="219">
        <f>IF('2-phenylethanol_DES'!H33="","",'2-phenylethanol_DES'!H33*7/F37)</f>
        <v/>
      </c>
      <c r="J37" s="217" t="n"/>
      <c r="K37" s="217" t="n"/>
      <c r="L37" s="217" t="n"/>
      <c r="M37" s="217" t="n"/>
      <c r="N37" s="121">
        <f>IF(OR(J37="",K37=""),"",K37-J37)</f>
        <v/>
      </c>
      <c r="O37" s="121">
        <f>IF(OR(K37="",L37=""),"",L37-K37)</f>
        <v/>
      </c>
      <c r="P37" s="121">
        <f>IF(OR(L37="",M37=""),"",M37-L37)</f>
        <v/>
      </c>
      <c r="Q37" s="121">
        <f>IF(OR(J37="",M37=""),"",M37-J37)</f>
        <v/>
      </c>
      <c r="R37" s="121">
        <f>IF(Q37="","",N37/Q37)</f>
        <v/>
      </c>
      <c r="S37" s="121">
        <f>IF(Q37="","",O37/Q37)</f>
        <v/>
      </c>
      <c r="T37" s="121">
        <f>IF(Q37="","",P37/Q37)</f>
        <v/>
      </c>
      <c r="U37" s="218" t="n"/>
    </row>
    <row r="38" ht="15" customHeight="1" s="112">
      <c r="A38" s="119" t="n">
        <v>25</v>
      </c>
      <c r="B38" s="119" t="n"/>
      <c r="C38" s="119" t="n"/>
      <c r="D38" s="119" t="n"/>
      <c r="E38" s="119" t="n">
        <v>5</v>
      </c>
      <c r="F38" s="121">
        <f>(Componentes!AB12/(Componentes!AB12+Componentes!AB14))*Componentes!P12+(Componentes!AB14/(Componentes!AB12+Componentes!AB14))*Componentes!P14</f>
        <v/>
      </c>
      <c r="G38" s="219">
        <f>IF('2-phenylethanol_DES'!I34="","",'2-phenylethanol_DES'!I34*7/$B$5)</f>
        <v/>
      </c>
      <c r="H38" s="219">
        <f>IF('2-phenylethanol_DES'!G34="","",'2-phenylethanol_DES'!G34*7/$B$4)</f>
        <v/>
      </c>
      <c r="I38" s="219">
        <f>IF('2-phenylethanol_DES'!H34="","",'2-phenylethanol_DES'!H34*7/F38)</f>
        <v/>
      </c>
      <c r="J38" s="217" t="n"/>
      <c r="K38" s="217" t="n"/>
      <c r="L38" s="217" t="n"/>
      <c r="M38" s="217" t="n"/>
      <c r="N38" s="121">
        <f>IF(OR(J38="",K38=""),"",K38-J38)</f>
        <v/>
      </c>
      <c r="O38" s="121">
        <f>IF(OR(K38="",L38=""),"",L38-K38)</f>
        <v/>
      </c>
      <c r="P38" s="121">
        <f>IF(OR(L38="",M38=""),"",M38-L38)</f>
        <v/>
      </c>
      <c r="Q38" s="121">
        <f>IF(OR(J38="",M38=""),"",M38-J38)</f>
        <v/>
      </c>
      <c r="R38" s="121">
        <f>IF(Q38="","",N38/Q38)</f>
        <v/>
      </c>
      <c r="S38" s="121">
        <f>IF(Q38="","",O38/Q38)</f>
        <v/>
      </c>
      <c r="T38" s="121">
        <f>IF(Q38="","",P38/Q38)</f>
        <v/>
      </c>
      <c r="U38" s="218" t="n"/>
    </row>
    <row r="39" ht="15" customHeight="1" s="112">
      <c r="G39" s="220" t="n"/>
      <c r="H39" s="220" t="n"/>
      <c r="I39" s="220" t="n"/>
    </row>
    <row r="40" ht="15" customHeight="1" s="112">
      <c r="A40" s="119" t="n">
        <v>26</v>
      </c>
      <c r="B40" s="118" t="inlineStr">
        <is>
          <t>CamCar</t>
        </is>
      </c>
      <c r="C40" s="119" t="inlineStr">
        <is>
          <t>Camphor</t>
        </is>
      </c>
      <c r="D40" s="119" t="inlineStr">
        <is>
          <t>Carvone</t>
        </is>
      </c>
      <c r="E40" s="119" t="n">
        <v>1</v>
      </c>
      <c r="F40" s="121">
        <f>(Componentes!AB14/(Componentes!AB14+Componentes!AB13))*Componentes!P14+(Componentes!AB13/(Componentes!AB14+Componentes!AB13))*Componentes!P13</f>
        <v/>
      </c>
      <c r="G40" s="219">
        <f>IF('2-phenylethanol_DES'!I36="","",'2-phenylethanol_DES'!I36*7/$B$5)</f>
        <v/>
      </c>
      <c r="H40" s="219">
        <f>IF('2-phenylethanol_DES'!G36="","",'2-phenylethanol_DES'!G36*7/$B$4)</f>
        <v/>
      </c>
      <c r="I40" s="219">
        <f>IF('2-phenylethanol_DES'!H36="","",'2-phenylethanol_DES'!H36*7/F40)</f>
        <v/>
      </c>
      <c r="J40" s="217" t="n"/>
      <c r="K40" s="217" t="n"/>
      <c r="L40" s="217" t="n"/>
      <c r="M40" s="217" t="n"/>
      <c r="N40" s="121">
        <f>IF(OR(J40="",K40=""),"",K40-J40)</f>
        <v/>
      </c>
      <c r="O40" s="121">
        <f>IF(OR(K40="",L40=""),"",L40-K40)</f>
        <v/>
      </c>
      <c r="P40" s="121">
        <f>IF(OR(L40="",M40=""),"",M40-L40)</f>
        <v/>
      </c>
      <c r="Q40" s="121">
        <f>IF(OR(J40="",M40=""),"",M40-J40)</f>
        <v/>
      </c>
      <c r="R40" s="121">
        <f>IF(Q40="","",N40/Q40)</f>
        <v/>
      </c>
      <c r="S40" s="121">
        <f>IF(Q40="","",O40/Q40)</f>
        <v/>
      </c>
      <c r="T40" s="121">
        <f>IF(Q40="","",P40/Q40)</f>
        <v/>
      </c>
      <c r="U40" s="218" t="n"/>
    </row>
    <row r="41" ht="15" customHeight="1" s="112">
      <c r="A41" s="119" t="n">
        <v>27</v>
      </c>
      <c r="B41" s="119" t="n"/>
      <c r="C41" s="119" t="n"/>
      <c r="D41" s="119" t="n"/>
      <c r="E41" s="119" t="n">
        <v>2</v>
      </c>
      <c r="F41" s="121">
        <f>(Componentes!AB14/(Componentes!AB14+Componentes!AB13))*Componentes!P14+(Componentes!AB13/(Componentes!AB14+Componentes!AB13))*Componentes!P13</f>
        <v/>
      </c>
      <c r="G41" s="219">
        <f>IF('2-phenylethanol_DES'!I37="","",'2-phenylethanol_DES'!I37*7/$B$5)</f>
        <v/>
      </c>
      <c r="H41" s="219">
        <f>IF('2-phenylethanol_DES'!G37="","",'2-phenylethanol_DES'!G37*7/$B$4)</f>
        <v/>
      </c>
      <c r="I41" s="219">
        <f>IF('2-phenylethanol_DES'!H37="","",'2-phenylethanol_DES'!H37*7/F41)</f>
        <v/>
      </c>
      <c r="J41" s="217" t="n"/>
      <c r="K41" s="217" t="n"/>
      <c r="L41" s="217" t="n"/>
      <c r="M41" s="217" t="n"/>
      <c r="N41" s="121">
        <f>IF(OR(J41="",K41=""),"",K41-J41)</f>
        <v/>
      </c>
      <c r="O41" s="121">
        <f>IF(OR(K41="",L41=""),"",L41-K41)</f>
        <v/>
      </c>
      <c r="P41" s="121">
        <f>IF(OR(L41="",M41=""),"",M41-L41)</f>
        <v/>
      </c>
      <c r="Q41" s="121">
        <f>IF(OR(J41="",M41=""),"",M41-J41)</f>
        <v/>
      </c>
      <c r="R41" s="121">
        <f>IF(Q41="","",N41/Q41)</f>
        <v/>
      </c>
      <c r="S41" s="121">
        <f>IF(Q41="","",O41/Q41)</f>
        <v/>
      </c>
      <c r="T41" s="121">
        <f>IF(Q41="","",P41/Q41)</f>
        <v/>
      </c>
      <c r="U41" s="218" t="n"/>
    </row>
    <row r="42" ht="15" customHeight="1" s="112">
      <c r="A42" s="119" t="n">
        <v>28</v>
      </c>
      <c r="B42" s="119" t="n"/>
      <c r="C42" s="119" t="n"/>
      <c r="D42" s="119" t="n"/>
      <c r="E42" s="119" t="n">
        <v>3</v>
      </c>
      <c r="F42" s="121">
        <f>(Componentes!AB14/(Componentes!AB14+Componentes!AB13))*Componentes!P14+(Componentes!AB13/(Componentes!AB14+Componentes!AB13))*Componentes!P13</f>
        <v/>
      </c>
      <c r="G42" s="219">
        <f>IF('2-phenylethanol_DES'!I38="","",'2-phenylethanol_DES'!I38*7/$B$5)</f>
        <v/>
      </c>
      <c r="H42" s="219">
        <f>IF('2-phenylethanol_DES'!G38="","",'2-phenylethanol_DES'!G38*7/$B$4)</f>
        <v/>
      </c>
      <c r="I42" s="219">
        <f>IF('2-phenylethanol_DES'!H38="","",'2-phenylethanol_DES'!H38*7/F42)</f>
        <v/>
      </c>
      <c r="J42" s="217" t="n"/>
      <c r="K42" s="217" t="n"/>
      <c r="L42" s="217" t="n"/>
      <c r="M42" s="217" t="n"/>
      <c r="N42" s="121">
        <f>IF(OR(J42="",K42=""),"",K42-J42)</f>
        <v/>
      </c>
      <c r="O42" s="121">
        <f>IF(OR(K42="",L42=""),"",L42-K42)</f>
        <v/>
      </c>
      <c r="P42" s="121">
        <f>IF(OR(L42="",M42=""),"",M42-L42)</f>
        <v/>
      </c>
      <c r="Q42" s="121">
        <f>IF(OR(J42="",M42=""),"",M42-J42)</f>
        <v/>
      </c>
      <c r="R42" s="121">
        <f>IF(Q42="","",N42/Q42)</f>
        <v/>
      </c>
      <c r="S42" s="121">
        <f>IF(Q42="","",O42/Q42)</f>
        <v/>
      </c>
      <c r="T42" s="121">
        <f>IF(Q42="","",P42/Q42)</f>
        <v/>
      </c>
      <c r="U42" s="218" t="n"/>
    </row>
    <row r="43" ht="15" customHeight="1" s="112">
      <c r="A43" s="119" t="n">
        <v>29</v>
      </c>
      <c r="B43" s="119" t="n"/>
      <c r="C43" s="119" t="n"/>
      <c r="D43" s="119" t="n"/>
      <c r="E43" s="119" t="n">
        <v>4</v>
      </c>
      <c r="F43" s="121">
        <f>(Componentes!AB14/(Componentes!AB14+Componentes!AB13))*Componentes!P14+(Componentes!AB13/(Componentes!AB14+Componentes!AB13))*Componentes!P13</f>
        <v/>
      </c>
      <c r="G43" s="219">
        <f>IF('2-phenylethanol_DES'!I39="","",'2-phenylethanol_DES'!I39*7/$B$5)</f>
        <v/>
      </c>
      <c r="H43" s="219">
        <f>IF('2-phenylethanol_DES'!G39="","",'2-phenylethanol_DES'!G39*7/$B$4)</f>
        <v/>
      </c>
      <c r="I43" s="219">
        <f>IF('2-phenylethanol_DES'!H39="","",'2-phenylethanol_DES'!H39*7/F43)</f>
        <v/>
      </c>
      <c r="J43" s="217" t="n"/>
      <c r="K43" s="217" t="n"/>
      <c r="L43" s="217" t="n"/>
      <c r="M43" s="217" t="n"/>
      <c r="N43" s="121">
        <f>IF(OR(J43="",K43=""),"",K43-J43)</f>
        <v/>
      </c>
      <c r="O43" s="121">
        <f>IF(OR(K43="",L43=""),"",L43-K43)</f>
        <v/>
      </c>
      <c r="P43" s="121">
        <f>IF(OR(L43="",M43=""),"",M43-L43)</f>
        <v/>
      </c>
      <c r="Q43" s="121">
        <f>IF(OR(J43="",M43=""),"",M43-J43)</f>
        <v/>
      </c>
      <c r="R43" s="121">
        <f>IF(Q43="","",N43/Q43)</f>
        <v/>
      </c>
      <c r="S43" s="121">
        <f>IF(Q43="","",O43/Q43)</f>
        <v/>
      </c>
      <c r="T43" s="121">
        <f>IF(Q43="","",P43/Q43)</f>
        <v/>
      </c>
      <c r="U43" s="218" t="n"/>
    </row>
    <row r="44" ht="15" customHeight="1" s="112">
      <c r="A44" s="119" t="n">
        <v>30</v>
      </c>
      <c r="B44" s="119" t="n"/>
      <c r="C44" s="119" t="n"/>
      <c r="D44" s="119" t="n"/>
      <c r="E44" s="119" t="n">
        <v>5</v>
      </c>
      <c r="F44" s="121">
        <f>(Componentes!AB14/(Componentes!AB14+Componentes!AB13))*Componentes!P14+(Componentes!AB13/(Componentes!AB14+Componentes!AB13))*Componentes!P13</f>
        <v/>
      </c>
      <c r="G44" s="219">
        <f>IF('2-phenylethanol_DES'!I40="","",'2-phenylethanol_DES'!I40*7/$B$5)</f>
        <v/>
      </c>
      <c r="H44" s="219">
        <f>IF('2-phenylethanol_DES'!G40="","",'2-phenylethanol_DES'!G40*7/$B$4)</f>
        <v/>
      </c>
      <c r="I44" s="219">
        <f>IF('2-phenylethanol_DES'!H40="","",'2-phenylethanol_DES'!H40*7/F44)</f>
        <v/>
      </c>
      <c r="J44" s="217" t="n"/>
      <c r="K44" s="217" t="n"/>
      <c r="L44" s="217" t="n"/>
      <c r="M44" s="217" t="n"/>
      <c r="N44" s="121">
        <f>IF(OR(J44="",K44=""),"",K44-J44)</f>
        <v/>
      </c>
      <c r="O44" s="121">
        <f>IF(OR(K44="",L44=""),"",L44-K44)</f>
        <v/>
      </c>
      <c r="P44" s="121">
        <f>IF(OR(L44="",M44=""),"",M44-L44)</f>
        <v/>
      </c>
      <c r="Q44" s="121">
        <f>IF(OR(J44="",M44=""),"",M44-J44)</f>
        <v/>
      </c>
      <c r="R44" s="121">
        <f>IF(Q44="","",N44/Q44)</f>
        <v/>
      </c>
      <c r="S44" s="121">
        <f>IF(Q44="","",O44/Q44)</f>
        <v/>
      </c>
      <c r="T44" s="121">
        <f>IF(Q44="","",P44/Q44)</f>
        <v/>
      </c>
      <c r="U44" s="218" t="n"/>
    </row>
    <row r="45" ht="15" customHeight="1" s="112">
      <c r="G45" s="220" t="n"/>
      <c r="H45" s="220" t="n"/>
      <c r="I45" s="220" t="n"/>
    </row>
    <row r="46" ht="15" customHeight="1" s="112">
      <c r="A46" s="119" t="n">
        <v>31</v>
      </c>
      <c r="B46" s="118" t="inlineStr">
        <is>
          <t>CamGer</t>
        </is>
      </c>
      <c r="C46" s="119" t="inlineStr">
        <is>
          <t>Camphor</t>
        </is>
      </c>
      <c r="D46" s="119" t="inlineStr">
        <is>
          <t>Geraniol</t>
        </is>
      </c>
      <c r="E46" s="119" t="n">
        <v>1</v>
      </c>
      <c r="F46" s="121">
        <f>(Componentes!AB14/(Componentes!AB14+Componentes!AB15))*Componentes!P14+(Componentes!AB15/(Componentes!AB14+Componentes!AB15))*Componentes!P15</f>
        <v/>
      </c>
      <c r="G46" s="219">
        <f>IF('2-phenylethanol_DES'!I42="","",'2-phenylethanol_DES'!I42*7/$B$5)</f>
        <v/>
      </c>
      <c r="H46" s="219">
        <f>IF('2-phenylethanol_DES'!G42="","",'2-phenylethanol_DES'!G42*7/$B$4)</f>
        <v/>
      </c>
      <c r="I46" s="219">
        <f>IF('2-phenylethanol_DES'!H42="","",'2-phenylethanol_DES'!H42*7/F46)</f>
        <v/>
      </c>
      <c r="J46" s="217" t="n"/>
      <c r="K46" s="217" t="n"/>
      <c r="L46" s="217" t="n"/>
      <c r="M46" s="217" t="n"/>
      <c r="N46" s="121">
        <f>IF(OR(J46="",K46=""),"",K46-J46)</f>
        <v/>
      </c>
      <c r="O46" s="121">
        <f>IF(OR(K46="",L46=""),"",L46-K46)</f>
        <v/>
      </c>
      <c r="P46" s="121">
        <f>IF(OR(L46="",M46=""),"",M46-L46)</f>
        <v/>
      </c>
      <c r="Q46" s="121">
        <f>IF(OR(J46="",M46=""),"",M46-J46)</f>
        <v/>
      </c>
      <c r="R46" s="121">
        <f>IF(Q46="","",N46/Q46)</f>
        <v/>
      </c>
      <c r="S46" s="121">
        <f>IF(Q46="","",O46/Q46)</f>
        <v/>
      </c>
      <c r="T46" s="121">
        <f>IF(Q46="","",P46/Q46)</f>
        <v/>
      </c>
      <c r="U46" s="218" t="n"/>
    </row>
    <row r="47" ht="15" customHeight="1" s="112">
      <c r="A47" s="119" t="n">
        <v>32</v>
      </c>
      <c r="B47" s="119" t="n"/>
      <c r="C47" s="119" t="n"/>
      <c r="D47" s="119" t="n"/>
      <c r="E47" s="119" t="n">
        <v>2</v>
      </c>
      <c r="F47" s="121">
        <f>(Componentes!AB14/(Componentes!AB14+Componentes!AB15))*Componentes!P14+(Componentes!AB15/(Componentes!AB14+Componentes!AB15))*Componentes!P15</f>
        <v/>
      </c>
      <c r="G47" s="219">
        <f>IF('2-phenylethanol_DES'!I43="","",'2-phenylethanol_DES'!I43*7/$B$5)</f>
        <v/>
      </c>
      <c r="H47" s="219">
        <f>IF('2-phenylethanol_DES'!G43="","",'2-phenylethanol_DES'!G43*7/$B$4)</f>
        <v/>
      </c>
      <c r="I47" s="219">
        <f>IF('2-phenylethanol_DES'!H43="","",'2-phenylethanol_DES'!H43*7/F47)</f>
        <v/>
      </c>
      <c r="J47" s="217" t="n"/>
      <c r="K47" s="217" t="n"/>
      <c r="L47" s="217" t="n"/>
      <c r="M47" s="217" t="n"/>
      <c r="N47" s="121">
        <f>IF(OR(J47="",K47=""),"",K47-J47)</f>
        <v/>
      </c>
      <c r="O47" s="121">
        <f>IF(OR(K47="",L47=""),"",L47-K47)</f>
        <v/>
      </c>
      <c r="P47" s="121">
        <f>IF(OR(L47="",M47=""),"",M47-L47)</f>
        <v/>
      </c>
      <c r="Q47" s="121">
        <f>IF(OR(J47="",M47=""),"",M47-J47)</f>
        <v/>
      </c>
      <c r="R47" s="121">
        <f>IF(Q47="","",N47/Q47)</f>
        <v/>
      </c>
      <c r="S47" s="121">
        <f>IF(Q47="","",O47/Q47)</f>
        <v/>
      </c>
      <c r="T47" s="121">
        <f>IF(Q47="","",P47/Q47)</f>
        <v/>
      </c>
      <c r="U47" s="218" t="n"/>
    </row>
    <row r="48" ht="15" customHeight="1" s="112">
      <c r="A48" s="119" t="n">
        <v>33</v>
      </c>
      <c r="B48" s="119" t="n"/>
      <c r="C48" s="119" t="n"/>
      <c r="D48" s="119" t="n"/>
      <c r="E48" s="119" t="n">
        <v>3</v>
      </c>
      <c r="F48" s="121">
        <f>(Componentes!AB14/(Componentes!AB14+Componentes!AB15))*Componentes!P14+(Componentes!AB15/(Componentes!AB14+Componentes!AB15))*Componentes!P15</f>
        <v/>
      </c>
      <c r="G48" s="219">
        <f>IF('2-phenylethanol_DES'!I44="","",'2-phenylethanol_DES'!I44*7/$B$5)</f>
        <v/>
      </c>
      <c r="H48" s="219">
        <f>IF('2-phenylethanol_DES'!G44="","",'2-phenylethanol_DES'!G44*7/$B$4)</f>
        <v/>
      </c>
      <c r="I48" s="219">
        <f>IF('2-phenylethanol_DES'!H44="","",'2-phenylethanol_DES'!H44*7/F48)</f>
        <v/>
      </c>
      <c r="J48" s="217" t="n"/>
      <c r="K48" s="217" t="n"/>
      <c r="L48" s="217" t="n"/>
      <c r="M48" s="217" t="n"/>
      <c r="N48" s="121">
        <f>IF(OR(J48="",K48=""),"",K48-J48)</f>
        <v/>
      </c>
      <c r="O48" s="121">
        <f>IF(OR(K48="",L48=""),"",L48-K48)</f>
        <v/>
      </c>
      <c r="P48" s="121">
        <f>IF(OR(L48="",M48=""),"",M48-L48)</f>
        <v/>
      </c>
      <c r="Q48" s="121">
        <f>IF(OR(J48="",M48=""),"",M48-J48)</f>
        <v/>
      </c>
      <c r="R48" s="121">
        <f>IF(Q48="","",N48/Q48)</f>
        <v/>
      </c>
      <c r="S48" s="121">
        <f>IF(Q48="","",O48/Q48)</f>
        <v/>
      </c>
      <c r="T48" s="121">
        <f>IF(Q48="","",P48/Q48)</f>
        <v/>
      </c>
      <c r="U48" s="218" t="n"/>
    </row>
    <row r="49" ht="15" customHeight="1" s="112">
      <c r="A49" s="119" t="n">
        <v>34</v>
      </c>
      <c r="B49" s="119" t="n"/>
      <c r="C49" s="119" t="n"/>
      <c r="D49" s="119" t="n"/>
      <c r="E49" s="119" t="n">
        <v>4</v>
      </c>
      <c r="F49" s="121">
        <f>(Componentes!AB14/(Componentes!AB14+Componentes!AB15))*Componentes!P14+(Componentes!AB15/(Componentes!AB14+Componentes!AB15))*Componentes!P15</f>
        <v/>
      </c>
      <c r="G49" s="219">
        <f>IF('2-phenylethanol_DES'!I45="","",'2-phenylethanol_DES'!I45*7/$B$5)</f>
        <v/>
      </c>
      <c r="H49" s="219">
        <f>IF('2-phenylethanol_DES'!G45="","",'2-phenylethanol_DES'!G45*7/$B$4)</f>
        <v/>
      </c>
      <c r="I49" s="219">
        <f>IF('2-phenylethanol_DES'!H45="","",'2-phenylethanol_DES'!H45*7/F49)</f>
        <v/>
      </c>
      <c r="J49" s="217" t="n"/>
      <c r="K49" s="217" t="n"/>
      <c r="L49" s="217" t="n"/>
      <c r="M49" s="217" t="n"/>
      <c r="N49" s="121">
        <f>IF(OR(J49="",K49=""),"",K49-J49)</f>
        <v/>
      </c>
      <c r="O49" s="121">
        <f>IF(OR(K49="",L49=""),"",L49-K49)</f>
        <v/>
      </c>
      <c r="P49" s="121">
        <f>IF(OR(L49="",M49=""),"",M49-L49)</f>
        <v/>
      </c>
      <c r="Q49" s="121">
        <f>IF(OR(J49="",M49=""),"",M49-J49)</f>
        <v/>
      </c>
      <c r="R49" s="121">
        <f>IF(Q49="","",N49/Q49)</f>
        <v/>
      </c>
      <c r="S49" s="121">
        <f>IF(Q49="","",O49/Q49)</f>
        <v/>
      </c>
      <c r="T49" s="121">
        <f>IF(Q49="","",P49/Q49)</f>
        <v/>
      </c>
      <c r="U49" s="218" t="n"/>
    </row>
    <row r="50" ht="15" customHeight="1" s="112">
      <c r="A50" s="119" t="n">
        <v>35</v>
      </c>
      <c r="B50" s="119" t="n"/>
      <c r="C50" s="119" t="n"/>
      <c r="D50" s="119" t="n"/>
      <c r="E50" s="119" t="n">
        <v>5</v>
      </c>
      <c r="F50" s="121">
        <f>(Componentes!AB14/(Componentes!AB14+Componentes!AB15))*Componentes!P14+(Componentes!AB15/(Componentes!AB14+Componentes!AB15))*Componentes!P15</f>
        <v/>
      </c>
      <c r="G50" s="219">
        <f>IF('2-phenylethanol_DES'!I46="","",'2-phenylethanol_DES'!I46*7/$B$5)</f>
        <v/>
      </c>
      <c r="H50" s="219">
        <f>IF('2-phenylethanol_DES'!G46="","",'2-phenylethanol_DES'!G46*7/$B$4)</f>
        <v/>
      </c>
      <c r="I50" s="219">
        <f>IF('2-phenylethanol_DES'!H46="","",'2-phenylethanol_DES'!H46*7/F50)</f>
        <v/>
      </c>
      <c r="J50" s="217" t="n"/>
      <c r="K50" s="217" t="n"/>
      <c r="L50" s="217" t="n"/>
      <c r="M50" s="217" t="n"/>
      <c r="N50" s="121">
        <f>IF(OR(J50="",K50=""),"",K50-J50)</f>
        <v/>
      </c>
      <c r="O50" s="121">
        <f>IF(OR(K50="",L50=""),"",L50-K50)</f>
        <v/>
      </c>
      <c r="P50" s="121">
        <f>IF(OR(L50="",M50=""),"",M50-L50)</f>
        <v/>
      </c>
      <c r="Q50" s="121">
        <f>IF(OR(J50="",M50=""),"",M50-J50)</f>
        <v/>
      </c>
      <c r="R50" s="121">
        <f>IF(Q50="","",N50/Q50)</f>
        <v/>
      </c>
      <c r="S50" s="121">
        <f>IF(Q50="","",O50/Q50)</f>
        <v/>
      </c>
      <c r="T50" s="121">
        <f>IF(Q50="","",P50/Q50)</f>
        <v/>
      </c>
      <c r="U50" s="218" t="n"/>
    </row>
    <row r="51" ht="15" customHeight="1" s="112">
      <c r="G51" s="220" t="n"/>
      <c r="H51" s="220" t="n"/>
      <c r="I51" s="220" t="n"/>
    </row>
    <row r="52" ht="15" customHeight="1" s="112">
      <c r="A52" s="119" t="n">
        <v>36</v>
      </c>
      <c r="B52" s="118" t="inlineStr">
        <is>
          <t>CamCarvac</t>
        </is>
      </c>
      <c r="C52" s="119" t="inlineStr">
        <is>
          <t>Camphor</t>
        </is>
      </c>
      <c r="D52" s="119" t="inlineStr">
        <is>
          <t>Carvacrol</t>
        </is>
      </c>
      <c r="E52" s="119" t="n">
        <v>1</v>
      </c>
      <c r="F52" s="121">
        <f>(Componentes!AB14/(Componentes!AB14+Componentes!AB16))*Componentes!P14+(Componentes!AB16/(Componentes!AB14+Componentes!AB16))*Componentes!P16</f>
        <v/>
      </c>
      <c r="G52" s="219">
        <f>IF('2-phenylethanol_DES'!I48="","",'2-phenylethanol_DES'!I48*7/$B$5)</f>
        <v/>
      </c>
      <c r="H52" s="219">
        <f>IF('2-phenylethanol_DES'!G48="","",'2-phenylethanol_DES'!G48*7/$B$4)</f>
        <v/>
      </c>
      <c r="I52" s="219">
        <f>IF('2-phenylethanol_DES'!H48="","",'2-phenylethanol_DES'!H48*7/F52)</f>
        <v/>
      </c>
      <c r="J52" s="217" t="n"/>
      <c r="K52" s="217" t="n"/>
      <c r="L52" s="217" t="n"/>
      <c r="M52" s="217" t="n"/>
      <c r="N52" s="121">
        <f>IF(OR(J52="",K52=""),"",K52-J52)</f>
        <v/>
      </c>
      <c r="O52" s="121">
        <f>IF(OR(K52="",L52=""),"",L52-K52)</f>
        <v/>
      </c>
      <c r="P52" s="121">
        <f>IF(OR(L52="",M52=""),"",M52-L52)</f>
        <v/>
      </c>
      <c r="Q52" s="121">
        <f>IF(OR(J52="",M52=""),"",M52-J52)</f>
        <v/>
      </c>
      <c r="R52" s="121">
        <f>IF(Q52="","",N52/Q52)</f>
        <v/>
      </c>
      <c r="S52" s="121">
        <f>IF(Q52="","",O52/Q52)</f>
        <v/>
      </c>
      <c r="T52" s="121">
        <f>IF(Q52="","",P52/Q52)</f>
        <v/>
      </c>
      <c r="U52" s="218" t="n"/>
    </row>
    <row r="53" ht="15" customHeight="1" s="112">
      <c r="A53" s="119" t="n">
        <v>37</v>
      </c>
      <c r="B53" s="119" t="n"/>
      <c r="C53" s="119" t="n"/>
      <c r="D53" s="119" t="n"/>
      <c r="E53" s="119" t="n">
        <v>2</v>
      </c>
      <c r="F53" s="121">
        <f>(Componentes!AB14/(Componentes!AB14+Componentes!AB16))*Componentes!P14+(Componentes!AB16/(Componentes!AB14+Componentes!AB16))*Componentes!P16</f>
        <v/>
      </c>
      <c r="G53" s="219">
        <f>IF('2-phenylethanol_DES'!I49="","",'2-phenylethanol_DES'!I49*7/$B$5)</f>
        <v/>
      </c>
      <c r="H53" s="219">
        <f>IF('2-phenylethanol_DES'!G49="","",'2-phenylethanol_DES'!G49*7/$B$4)</f>
        <v/>
      </c>
      <c r="I53" s="219">
        <f>IF('2-phenylethanol_DES'!H49="","",'2-phenylethanol_DES'!H49*7/F53)</f>
        <v/>
      </c>
      <c r="J53" s="217" t="n"/>
      <c r="K53" s="217" t="n"/>
      <c r="L53" s="217" t="n"/>
      <c r="M53" s="217" t="n"/>
      <c r="N53" s="121">
        <f>IF(OR(J53="",K53=""),"",K53-J53)</f>
        <v/>
      </c>
      <c r="O53" s="121">
        <f>IF(OR(K53="",L53=""),"",L53-K53)</f>
        <v/>
      </c>
      <c r="P53" s="121">
        <f>IF(OR(L53="",M53=""),"",M53-L53)</f>
        <v/>
      </c>
      <c r="Q53" s="121">
        <f>IF(OR(J53="",M53=""),"",M53-J53)</f>
        <v/>
      </c>
      <c r="R53" s="121">
        <f>IF(Q53="","",N53/Q53)</f>
        <v/>
      </c>
      <c r="S53" s="121">
        <f>IF(Q53="","",O53/Q53)</f>
        <v/>
      </c>
      <c r="T53" s="121">
        <f>IF(Q53="","",P53/Q53)</f>
        <v/>
      </c>
      <c r="U53" s="218" t="n"/>
    </row>
    <row r="54" ht="15" customHeight="1" s="112">
      <c r="A54" s="119" t="n">
        <v>38</v>
      </c>
      <c r="B54" s="119" t="n"/>
      <c r="C54" s="119" t="n"/>
      <c r="D54" s="119" t="n"/>
      <c r="E54" s="119" t="n">
        <v>3</v>
      </c>
      <c r="F54" s="121">
        <f>(Componentes!AB14/(Componentes!AB14+Componentes!AB16))*Componentes!P14+(Componentes!AB16/(Componentes!AB14+Componentes!AB16))*Componentes!P16</f>
        <v/>
      </c>
      <c r="G54" s="219">
        <f>IF('2-phenylethanol_DES'!I50="","",'2-phenylethanol_DES'!I50*7/$B$5)</f>
        <v/>
      </c>
      <c r="H54" s="219">
        <f>IF('2-phenylethanol_DES'!G50="","",'2-phenylethanol_DES'!G50*7/$B$4)</f>
        <v/>
      </c>
      <c r="I54" s="219">
        <f>IF('2-phenylethanol_DES'!H50="","",'2-phenylethanol_DES'!H50*7/F54)</f>
        <v/>
      </c>
      <c r="J54" s="217" t="n"/>
      <c r="K54" s="217" t="n"/>
      <c r="L54" s="217" t="n"/>
      <c r="M54" s="217" t="n"/>
      <c r="N54" s="121">
        <f>IF(OR(J54="",K54=""),"",K54-J54)</f>
        <v/>
      </c>
      <c r="O54" s="121">
        <f>IF(OR(K54="",L54=""),"",L54-K54)</f>
        <v/>
      </c>
      <c r="P54" s="121">
        <f>IF(OR(L54="",M54=""),"",M54-L54)</f>
        <v/>
      </c>
      <c r="Q54" s="121">
        <f>IF(OR(J54="",M54=""),"",M54-J54)</f>
        <v/>
      </c>
      <c r="R54" s="121">
        <f>IF(Q54="","",N54/Q54)</f>
        <v/>
      </c>
      <c r="S54" s="121">
        <f>IF(Q54="","",O54/Q54)</f>
        <v/>
      </c>
      <c r="T54" s="121">
        <f>IF(Q54="","",P54/Q54)</f>
        <v/>
      </c>
      <c r="U54" s="218" t="n"/>
    </row>
    <row r="55" ht="15" customHeight="1" s="112">
      <c r="A55" s="119" t="n">
        <v>39</v>
      </c>
      <c r="B55" s="119" t="n"/>
      <c r="C55" s="119" t="n"/>
      <c r="D55" s="119" t="n"/>
      <c r="E55" s="119" t="n">
        <v>4</v>
      </c>
      <c r="F55" s="121">
        <f>(Componentes!AB14/(Componentes!AB14+Componentes!AB16))*Componentes!P14+(Componentes!AB16/(Componentes!AB14+Componentes!AB16))*Componentes!P16</f>
        <v/>
      </c>
      <c r="G55" s="219">
        <f>IF('2-phenylethanol_DES'!I51="","",'2-phenylethanol_DES'!I51*7/$B$5)</f>
        <v/>
      </c>
      <c r="H55" s="219">
        <f>IF('2-phenylethanol_DES'!G51="","",'2-phenylethanol_DES'!G51*7/$B$4)</f>
        <v/>
      </c>
      <c r="I55" s="219">
        <f>IF('2-phenylethanol_DES'!H51="","",'2-phenylethanol_DES'!H51*7/F55)</f>
        <v/>
      </c>
      <c r="J55" s="217" t="n"/>
      <c r="K55" s="217" t="n"/>
      <c r="L55" s="217" t="n"/>
      <c r="M55" s="217" t="n"/>
      <c r="N55" s="121">
        <f>IF(OR(J55="",K55=""),"",K55-J55)</f>
        <v/>
      </c>
      <c r="O55" s="121">
        <f>IF(OR(K55="",L55=""),"",L55-K55)</f>
        <v/>
      </c>
      <c r="P55" s="121">
        <f>IF(OR(L55="",M55=""),"",M55-L55)</f>
        <v/>
      </c>
      <c r="Q55" s="121">
        <f>IF(OR(J55="",M55=""),"",M55-J55)</f>
        <v/>
      </c>
      <c r="R55" s="121">
        <f>IF(Q55="","",N55/Q55)</f>
        <v/>
      </c>
      <c r="S55" s="121">
        <f>IF(Q55="","",O55/Q55)</f>
        <v/>
      </c>
      <c r="T55" s="121">
        <f>IF(Q55="","",P55/Q55)</f>
        <v/>
      </c>
      <c r="U55" s="218" t="n"/>
    </row>
    <row r="56" ht="15" customHeight="1" s="112">
      <c r="A56" s="119" t="n">
        <v>40</v>
      </c>
      <c r="B56" s="119" t="n"/>
      <c r="C56" s="119" t="n"/>
      <c r="D56" s="119" t="n"/>
      <c r="E56" s="119" t="n">
        <v>5</v>
      </c>
      <c r="F56" s="121">
        <f>(Componentes!AB14/(Componentes!AB14+Componentes!AB16))*Componentes!P14+(Componentes!AB16/(Componentes!AB14+Componentes!AB16))*Componentes!P16</f>
        <v/>
      </c>
      <c r="G56" s="219">
        <f>IF('2-phenylethanol_DES'!I52="","",'2-phenylethanol_DES'!I52*7/$B$5)</f>
        <v/>
      </c>
      <c r="H56" s="219">
        <f>IF('2-phenylethanol_DES'!G52="","",'2-phenylethanol_DES'!G52*7/$B$4)</f>
        <v/>
      </c>
      <c r="I56" s="219">
        <f>IF('2-phenylethanol_DES'!H52="","",'2-phenylethanol_DES'!H52*7/F56)</f>
        <v/>
      </c>
      <c r="J56" s="217" t="n"/>
      <c r="K56" s="217" t="n"/>
      <c r="L56" s="217" t="n"/>
      <c r="M56" s="217" t="n"/>
      <c r="N56" s="121">
        <f>IF(OR(J56="",K56=""),"",K56-J56)</f>
        <v/>
      </c>
      <c r="O56" s="121">
        <f>IF(OR(K56="",L56=""),"",L56-K56)</f>
        <v/>
      </c>
      <c r="P56" s="121">
        <f>IF(OR(L56="",M56=""),"",M56-L56)</f>
        <v/>
      </c>
      <c r="Q56" s="121">
        <f>IF(OR(J56="",M56=""),"",M56-J56)</f>
        <v/>
      </c>
      <c r="R56" s="121">
        <f>IF(Q56="","",N56/Q56)</f>
        <v/>
      </c>
      <c r="S56" s="121">
        <f>IF(Q56="","",O56/Q56)</f>
        <v/>
      </c>
      <c r="T56" s="121">
        <f>IF(Q56="","",P56/Q56)</f>
        <v/>
      </c>
      <c r="U56" s="218" t="n"/>
    </row>
    <row r="57" ht="15" customHeight="1" s="112">
      <c r="G57" s="220" t="n"/>
      <c r="H57" s="220" t="n"/>
      <c r="I57" s="220" t="n"/>
    </row>
    <row r="58" ht="15" customHeight="1" s="112">
      <c r="A58" s="119" t="n">
        <v>41</v>
      </c>
      <c r="B58" s="118" t="inlineStr">
        <is>
          <t>CamEug</t>
        </is>
      </c>
      <c r="C58" s="119" t="inlineStr">
        <is>
          <t>Camphor</t>
        </is>
      </c>
      <c r="D58" s="119" t="inlineStr">
        <is>
          <t>Eugenol</t>
        </is>
      </c>
      <c r="E58" s="119" t="n">
        <v>1</v>
      </c>
      <c r="F58" s="121">
        <f>(Componentes!AB14/(Componentes!AB14+Componentes!AB17))*Componentes!P14+(Componentes!AB17/(Componentes!AB14+Componentes!AB17))*Componentes!P17</f>
        <v/>
      </c>
      <c r="G58" s="219">
        <f>IF('2-phenylethanol_DES'!I54="","",'2-phenylethanol_DES'!I54*7/$B$5)</f>
        <v/>
      </c>
      <c r="H58" s="219">
        <f>IF('2-phenylethanol_DES'!G54="","",'2-phenylethanol_DES'!G54*7/$B$4)</f>
        <v/>
      </c>
      <c r="I58" s="219">
        <f>IF('2-phenylethanol_DES'!H54="","",'2-phenylethanol_DES'!H54*7/F58)</f>
        <v/>
      </c>
      <c r="J58" s="217" t="n"/>
      <c r="K58" s="217" t="n"/>
      <c r="L58" s="217" t="n"/>
      <c r="M58" s="217" t="n"/>
      <c r="N58" s="121">
        <f>IF(OR(J58="",K58=""),"",K58-J58)</f>
        <v/>
      </c>
      <c r="O58" s="121">
        <f>IF(OR(K58="",L58=""),"",L58-K58)</f>
        <v/>
      </c>
      <c r="P58" s="121">
        <f>IF(OR(L58="",M58=""),"",M58-L58)</f>
        <v/>
      </c>
      <c r="Q58" s="121">
        <f>IF(OR(J58="",M58=""),"",M58-J58)</f>
        <v/>
      </c>
      <c r="R58" s="121">
        <f>IF(Q58="","",N58/Q58)</f>
        <v/>
      </c>
      <c r="S58" s="121">
        <f>IF(Q58="","",O58/Q58)</f>
        <v/>
      </c>
      <c r="T58" s="121">
        <f>IF(Q58="","",P58/Q58)</f>
        <v/>
      </c>
      <c r="U58" s="218" t="n"/>
    </row>
    <row r="59" ht="15" customHeight="1" s="112">
      <c r="A59" s="119" t="n">
        <v>42</v>
      </c>
      <c r="B59" s="119" t="n"/>
      <c r="C59" s="119" t="n"/>
      <c r="D59" s="119" t="n"/>
      <c r="E59" s="119" t="n">
        <v>2</v>
      </c>
      <c r="F59" s="121">
        <f>(Componentes!AB14/(Componentes!AB14+Componentes!AB17))*Componentes!P14+(Componentes!AB17/(Componentes!AB14+Componentes!AB17))*Componentes!P17</f>
        <v/>
      </c>
      <c r="G59" s="219">
        <f>IF('2-phenylethanol_DES'!I55="","",'2-phenylethanol_DES'!I55*7/$B$5)</f>
        <v/>
      </c>
      <c r="H59" s="219">
        <f>IF('2-phenylethanol_DES'!G55="","",'2-phenylethanol_DES'!G55*7/$B$4)</f>
        <v/>
      </c>
      <c r="I59" s="219">
        <f>IF('2-phenylethanol_DES'!H55="","",'2-phenylethanol_DES'!H55*7/F59)</f>
        <v/>
      </c>
      <c r="J59" s="217" t="n"/>
      <c r="K59" s="217" t="n"/>
      <c r="L59" s="217" t="n"/>
      <c r="M59" s="217" t="n"/>
      <c r="N59" s="121">
        <f>IF(OR(J59="",K59=""),"",K59-J59)</f>
        <v/>
      </c>
      <c r="O59" s="121">
        <f>IF(OR(K59="",L59=""),"",L59-K59)</f>
        <v/>
      </c>
      <c r="P59" s="121">
        <f>IF(OR(L59="",M59=""),"",M59-L59)</f>
        <v/>
      </c>
      <c r="Q59" s="121">
        <f>IF(OR(J59="",M59=""),"",M59-J59)</f>
        <v/>
      </c>
      <c r="R59" s="121">
        <f>IF(Q59="","",N59/Q59)</f>
        <v/>
      </c>
      <c r="S59" s="121">
        <f>IF(Q59="","",O59/Q59)</f>
        <v/>
      </c>
      <c r="T59" s="121">
        <f>IF(Q59="","",P59/Q59)</f>
        <v/>
      </c>
      <c r="U59" s="218" t="n"/>
    </row>
    <row r="60" ht="15" customHeight="1" s="112">
      <c r="A60" s="119" t="n">
        <v>43</v>
      </c>
      <c r="B60" s="119" t="n"/>
      <c r="C60" s="119" t="n"/>
      <c r="D60" s="119" t="n"/>
      <c r="E60" s="119" t="n">
        <v>3</v>
      </c>
      <c r="F60" s="121">
        <f>(Componentes!AB14/(Componentes!AB14+Componentes!AB17))*Componentes!P14+(Componentes!AB17/(Componentes!AB14+Componentes!AB17))*Componentes!P17</f>
        <v/>
      </c>
      <c r="G60" s="219">
        <f>IF('2-phenylethanol_DES'!I56="","",'2-phenylethanol_DES'!I56*7/$B$5)</f>
        <v/>
      </c>
      <c r="H60" s="219">
        <f>IF('2-phenylethanol_DES'!G56="","",'2-phenylethanol_DES'!G56*7/$B$4)</f>
        <v/>
      </c>
      <c r="I60" s="219">
        <f>IF('2-phenylethanol_DES'!H56="","",'2-phenylethanol_DES'!H56*7/F60)</f>
        <v/>
      </c>
      <c r="J60" s="217" t="n"/>
      <c r="K60" s="217" t="n"/>
      <c r="L60" s="217" t="n"/>
      <c r="M60" s="217" t="n"/>
      <c r="N60" s="121">
        <f>IF(OR(J60="",K60=""),"",K60-J60)</f>
        <v/>
      </c>
      <c r="O60" s="121">
        <f>IF(OR(K60="",L60=""),"",L60-K60)</f>
        <v/>
      </c>
      <c r="P60" s="121">
        <f>IF(OR(L60="",M60=""),"",M60-L60)</f>
        <v/>
      </c>
      <c r="Q60" s="121">
        <f>IF(OR(J60="",M60=""),"",M60-J60)</f>
        <v/>
      </c>
      <c r="R60" s="121">
        <f>IF(Q60="","",N60/Q60)</f>
        <v/>
      </c>
      <c r="S60" s="121">
        <f>IF(Q60="","",O60/Q60)</f>
        <v/>
      </c>
      <c r="T60" s="121">
        <f>IF(Q60="","",P60/Q60)</f>
        <v/>
      </c>
      <c r="U60" s="218" t="n"/>
    </row>
    <row r="61" ht="15" customHeight="1" s="112">
      <c r="A61" s="119" t="n">
        <v>44</v>
      </c>
      <c r="B61" s="119" t="n"/>
      <c r="C61" s="119" t="n"/>
      <c r="D61" s="119" t="n"/>
      <c r="E61" s="119" t="n">
        <v>4</v>
      </c>
      <c r="F61" s="121">
        <f>(Componentes!AB14/(Componentes!AB14+Componentes!AB17))*Componentes!P14+(Componentes!AB17/(Componentes!AB14+Componentes!AB17))*Componentes!P17</f>
        <v/>
      </c>
      <c r="G61" s="219">
        <f>IF('2-phenylethanol_DES'!I57="","",'2-phenylethanol_DES'!I57*7/$B$5)</f>
        <v/>
      </c>
      <c r="H61" s="219">
        <f>IF('2-phenylethanol_DES'!G57="","",'2-phenylethanol_DES'!G57*7/$B$4)</f>
        <v/>
      </c>
      <c r="I61" s="219">
        <f>IF('2-phenylethanol_DES'!H57="","",'2-phenylethanol_DES'!H57*7/F61)</f>
        <v/>
      </c>
      <c r="J61" s="217" t="n"/>
      <c r="K61" s="217" t="n"/>
      <c r="L61" s="217" t="n"/>
      <c r="M61" s="217" t="n"/>
      <c r="N61" s="121">
        <f>IF(OR(J61="",K61=""),"",K61-J61)</f>
        <v/>
      </c>
      <c r="O61" s="121">
        <f>IF(OR(K61="",L61=""),"",L61-K61)</f>
        <v/>
      </c>
      <c r="P61" s="121">
        <f>IF(OR(L61="",M61=""),"",M61-L61)</f>
        <v/>
      </c>
      <c r="Q61" s="121">
        <f>IF(OR(J61="",M61=""),"",M61-J61)</f>
        <v/>
      </c>
      <c r="R61" s="121">
        <f>IF(Q61="","",N61/Q61)</f>
        <v/>
      </c>
      <c r="S61" s="121">
        <f>IF(Q61="","",O61/Q61)</f>
        <v/>
      </c>
      <c r="T61" s="121">
        <f>IF(Q61="","",P61/Q61)</f>
        <v/>
      </c>
      <c r="U61" s="218" t="n"/>
    </row>
    <row r="62" ht="15" customHeight="1" s="112">
      <c r="A62" s="119" t="n">
        <v>45</v>
      </c>
      <c r="B62" s="119" t="n"/>
      <c r="C62" s="119" t="n"/>
      <c r="D62" s="119" t="n"/>
      <c r="E62" s="119" t="n">
        <v>5</v>
      </c>
      <c r="F62" s="121">
        <f>(Componentes!AB14/(Componentes!AB14+Componentes!AB17))*Componentes!P14+(Componentes!AB17/(Componentes!AB14+Componentes!AB17))*Componentes!P17</f>
        <v/>
      </c>
      <c r="G62" s="219">
        <f>IF('2-phenylethanol_DES'!I58="","",'2-phenylethanol_DES'!I58*7/$B$5)</f>
        <v/>
      </c>
      <c r="H62" s="219">
        <f>IF('2-phenylethanol_DES'!G58="","",'2-phenylethanol_DES'!G58*7/$B$4)</f>
        <v/>
      </c>
      <c r="I62" s="219">
        <f>IF('2-phenylethanol_DES'!H58="","",'2-phenylethanol_DES'!H58*7/F62)</f>
        <v/>
      </c>
      <c r="J62" s="217" t="n"/>
      <c r="K62" s="217" t="n"/>
      <c r="L62" s="217" t="n"/>
      <c r="M62" s="217" t="n"/>
      <c r="N62" s="121">
        <f>IF(OR(J62="",K62=""),"",K62-J62)</f>
        <v/>
      </c>
      <c r="O62" s="121">
        <f>IF(OR(K62="",L62=""),"",L62-K62)</f>
        <v/>
      </c>
      <c r="P62" s="121">
        <f>IF(OR(L62="",M62=""),"",M62-L62)</f>
        <v/>
      </c>
      <c r="Q62" s="121">
        <f>IF(OR(J62="",M62=""),"",M62-J62)</f>
        <v/>
      </c>
      <c r="R62" s="121">
        <f>IF(Q62="","",N62/Q62)</f>
        <v/>
      </c>
      <c r="S62" s="121">
        <f>IF(Q62="","",O62/Q62)</f>
        <v/>
      </c>
      <c r="T62" s="121">
        <f>IF(Q62="","",P62/Q62)</f>
        <v/>
      </c>
      <c r="U62" s="2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Roberto Canales</dc:creator>
  <dc:language>en-US</dc:language>
  <dcterms:created xsi:type="dcterms:W3CDTF">2025-11-17T19:03:08Z</dcterms:created>
  <dcterms:modified xsi:type="dcterms:W3CDTF">2026-03-19T21:40:29Z</dcterms:modified>
  <cp:revision>12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0x010100994AF09D86BE3C498753070DF359B656</vt:lpwstr>
  </property>
</Properties>
</file>