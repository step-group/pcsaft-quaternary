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ponentes" sheetId="1" state="visible" r:id="rId3"/>
    <sheet name="beta-ionone" sheetId="2" state="visible" r:id="rId4"/>
  </sheets>
  <definedNames>
    <definedName function="false" hidden="false" name="LookupTable" vbProcedure="false">Componentes!$AA$3:$AC$11</definedName>
    <definedName function="false" hidden="false" name="MW_2m2boh" vbProcedure="false">Componentes!$AB$7</definedName>
    <definedName function="false" hidden="false" name="MW_2m3b2oh" vbProcedure="false">Componentes!$AB$6</definedName>
    <definedName function="false" hidden="false" name="MW_2octanone" vbProcedure="false">Componentes!$AB$11</definedName>
    <definedName function="false" hidden="false" name="MW_2pe" vbProcedure="false">Componentes!$AB$4</definedName>
    <definedName function="false" hidden="false" name="MW_beta" vbProcedure="false">Componentes!$AB$3</definedName>
    <definedName function="false" hidden="false" name="MW_gamma" vbProcedure="false">Componentes!$AB$5</definedName>
    <definedName function="false" hidden="false" name="MW_hexoh" vbProcedure="false">Componentes!$AB$8</definedName>
    <definedName function="false" hidden="false" name="MW_mibk" vbProcedure="false">Componentes!$AB$10</definedName>
    <definedName function="false" hidden="false" name="MW_octoh" vbProcedure="false">Componentes!$AB$9</definedName>
    <definedName function="false" hidden="false" name="purity_2m2boh" vbProcedure="false">Componentes!$AC$7</definedName>
    <definedName function="false" hidden="false" name="purity_2m3b2oh" vbProcedure="false">Componentes!$AC$6</definedName>
    <definedName function="false" hidden="false" name="purity_2octanone" vbProcedure="false">Componentes!$AC$11</definedName>
    <definedName function="false" hidden="false" name="purity_2pe" vbProcedure="false">Componentes!$AC$4</definedName>
    <definedName function="false" hidden="false" name="purity_beta" vbProcedure="false">Componentes!$AC$3</definedName>
    <definedName function="false" hidden="false" name="purity_gamma" vbProcedure="false">Componentes!$AC$5</definedName>
    <definedName function="false" hidden="false" name="purity_hexoh" vbProcedure="false">Componentes!$AC$8</definedName>
    <definedName function="false" hidden="false" name="purity_mibk" vbProcedure="false">Componentes!$AC$10</definedName>
    <definedName function="false" hidden="false" name="purity_octoh" vbProcedure="false">Componentes!$AC$9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<sst xmlns="http://schemas.openxmlformats.org/spreadsheetml/2006/main" count="404" uniqueCount="219">
  <si>
    <t xml:space="preserve">IDENTIFICADOR</t>
  </si>
  <si>
    <t xml:space="preserve">INVENTARIO</t>
  </si>
  <si>
    <t xml:space="preserve">PROPIEDADES</t>
  </si>
  <si>
    <t xml:space="preserve">SEGURIDAD</t>
  </si>
  <si>
    <t xml:space="preserve">METADATA</t>
  </si>
  <si>
    <t xml:space="preserve">ID</t>
  </si>
  <si>
    <t xml:space="preserve">Chemical Name</t>
  </si>
  <si>
    <t xml:space="preserve">Common Name(s)</t>
  </si>
  <si>
    <t xml:space="preserve">CAS Number</t>
  </si>
  <si>
    <t xml:space="preserve">Formula</t>
  </si>
  <si>
    <t xml:space="preserve">Canonical SMILES</t>
  </si>
  <si>
    <t xml:space="preserve">Location</t>
  </si>
  <si>
    <t xml:space="preserve">Supplier</t>
  </si>
  <si>
    <t xml:space="preserve">Grade/Purity</t>
  </si>
  <si>
    <t xml:space="preserve">Lot Number</t>
  </si>
  <si>
    <t xml:space="preserve">Quantity</t>
  </si>
  <si>
    <t xml:space="preserve">Unit</t>
  </si>
  <si>
    <t xml:space="preserve">MW</t>
  </si>
  <si>
    <t xml:space="preserve">Tb</t>
  </si>
  <si>
    <t xml:space="preserve">Tm</t>
  </si>
  <si>
    <t xml:space="preserve">ρ (25°C)</t>
  </si>
  <si>
    <t xml:space="preserve">η (25°C)</t>
  </si>
  <si>
    <t xml:space="preserve">Pᵛᵃᵖ (25°C)</t>
  </si>
  <si>
    <t xml:space="preserve">Flash Point</t>
  </si>
  <si>
    <t xml:space="preserve">Hazard Class</t>
  </si>
  <si>
    <t xml:space="preserve">Storage</t>
  </si>
  <si>
    <t xml:space="preserve">Date Received</t>
  </si>
  <si>
    <t xml:space="preserve">Status</t>
  </si>
  <si>
    <t xml:space="preserve">Notes</t>
  </si>
  <si>
    <t xml:space="preserve">comp_id</t>
  </si>
  <si>
    <t xml:space="preserve">purity</t>
  </si>
  <si>
    <t xml:space="preserve">Internal component code</t>
  </si>
  <si>
    <t xml:space="preserve">IUPAC or standard name</t>
  </si>
  <si>
    <t xml:space="preserve">Alternative names</t>
  </si>
  <si>
    <t xml:space="preserve">CAS registry number</t>
  </si>
  <si>
    <t xml:space="preserve">Molecular formula</t>
  </si>
  <si>
    <t xml:space="preserve">For modeling/databases</t>
  </si>
  <si>
    <t xml:space="preserve">Lab position (e.g., 3.1)</t>
  </si>
  <si>
    <t xml:space="preserve">Vendor name</t>
  </si>
  <si>
    <t xml:space="preserve">(Según batch)</t>
  </si>
  <si>
    <t xml:space="preserve">Batch identifier</t>
  </si>
  <si>
    <t xml:space="preserve">Amount available</t>
  </si>
  <si>
    <t xml:space="preserve">mL, g, kg, etc.</t>
  </si>
  <si>
    <t xml:space="preserve">g/mol</t>
  </si>
  <si>
    <t xml:space="preserve">°C (1 atm)</t>
  </si>
  <si>
    <t xml:space="preserve">°C</t>
  </si>
  <si>
    <t xml:space="preserve">g/cm³</t>
  </si>
  <si>
    <t xml:space="preserve">mPa·s</t>
  </si>
  <si>
    <t xml:space="preserve">kPa</t>
  </si>
  <si>
    <t xml:space="preserve">GHS classification</t>
  </si>
  <si>
    <t xml:space="preserve">Requirements</t>
  </si>
  <si>
    <t xml:space="preserve">YYYY-MM-DD</t>
  </si>
  <si>
    <t xml:space="preserve">Active/Depleted</t>
  </si>
  <si>
    <t xml:space="preserve">Additional info</t>
  </si>
  <si>
    <t xml:space="preserve">beta</t>
  </si>
  <si>
    <t xml:space="preserve">b-ionone (trans)</t>
  </si>
  <si>
    <t xml:space="preserve">-</t>
  </si>
  <si>
    <t xml:space="preserve">14901-07-6</t>
  </si>
  <si>
    <t xml:space="preserve">C13H20O</t>
  </si>
  <si>
    <t xml:space="preserve">CC1=C(C(CCC1)(C)C)/C=C/C(=O)C</t>
  </si>
  <si>
    <t xml:space="preserve">REFRIGERADOR</t>
  </si>
  <si>
    <t xml:space="preserve">Sigma-Aldrich</t>
  </si>
  <si>
    <t xml:space="preserve">97.8% (GC)</t>
  </si>
  <si>
    <t xml:space="preserve">SHBL2869</t>
  </si>
  <si>
    <t xml:space="preserve">L</t>
  </si>
  <si>
    <t xml:space="preserve">Active</t>
  </si>
  <si>
    <t xml:space="preserve">2pe</t>
  </si>
  <si>
    <t xml:space="preserve">2-phenylethanol</t>
  </si>
  <si>
    <t xml:space="preserve">60-12-8</t>
  </si>
  <si>
    <t xml:space="preserve">C8H10O</t>
  </si>
  <si>
    <t xml:space="preserve">OCCc1ccccc1</t>
  </si>
  <si>
    <t xml:space="preserve">3.x</t>
  </si>
  <si>
    <t xml:space="preserve">&gt; 99.9% (GC)</t>
  </si>
  <si>
    <t xml:space="preserve">SDBB2371</t>
  </si>
  <si>
    <t xml:space="preserve">gamma</t>
  </si>
  <si>
    <t xml:space="preserve">g-decalactone</t>
  </si>
  <si>
    <t xml:space="preserve">706-14-9</t>
  </si>
  <si>
    <t xml:space="preserve">C10H18O2</t>
  </si>
  <si>
    <t xml:space="preserve">CCCCCCC1CCC(=O)O1</t>
  </si>
  <si>
    <t xml:space="preserve">98.7% (GC)</t>
  </si>
  <si>
    <t xml:space="preserve">SHBR4960</t>
  </si>
  <si>
    <t xml:space="preserve">2m3b2oh</t>
  </si>
  <si>
    <t xml:space="preserve">2-methyl-3-buten-2-ol</t>
  </si>
  <si>
    <t xml:space="preserve">2M3B2OH</t>
  </si>
  <si>
    <t xml:space="preserve">115-18-4</t>
  </si>
  <si>
    <t xml:space="preserve">C5H10O</t>
  </si>
  <si>
    <t xml:space="preserve">CC(C)(C=C)O</t>
  </si>
  <si>
    <t xml:space="preserve">Aldrich</t>
  </si>
  <si>
    <t xml:space="preserve">99.6% (GC)</t>
  </si>
  <si>
    <t xml:space="preserve">STBH5331</t>
  </si>
  <si>
    <t xml:space="preserve">2m2boh</t>
  </si>
  <si>
    <t xml:space="preserve">2-methyl-2-butanol</t>
  </si>
  <si>
    <t xml:space="preserve">tert-amyl alcohol</t>
  </si>
  <si>
    <t xml:space="preserve">75-85-4</t>
  </si>
  <si>
    <t xml:space="preserve">C5H12O</t>
  </si>
  <si>
    <t xml:space="preserve">CCC(C)(C)O</t>
  </si>
  <si>
    <t xml:space="preserve">&gt;99.9% (GC)</t>
  </si>
  <si>
    <t xml:space="preserve">SDBB4598</t>
  </si>
  <si>
    <t xml:space="preserve">hexoh</t>
  </si>
  <si>
    <t xml:space="preserve">1-hexanol</t>
  </si>
  <si>
    <t xml:space="preserve">111-27-3</t>
  </si>
  <si>
    <t xml:space="preserve">C6H18O</t>
  </si>
  <si>
    <t xml:space="preserve">CCCCCCO</t>
  </si>
  <si>
    <t xml:space="preserve">1.3.</t>
  </si>
  <si>
    <t xml:space="preserve">99.8% (GC)</t>
  </si>
  <si>
    <t xml:space="preserve">SHBC9189V</t>
  </si>
  <si>
    <t xml:space="preserve">mL</t>
  </si>
  <si>
    <t xml:space="preserve">octoh</t>
  </si>
  <si>
    <t xml:space="preserve">1-octanol</t>
  </si>
  <si>
    <t xml:space="preserve">111-87-5</t>
  </si>
  <si>
    <t xml:space="preserve">C8H18O</t>
  </si>
  <si>
    <t xml:space="preserve">CCCCCCCCO</t>
  </si>
  <si>
    <t xml:space="preserve">99.7% (GC)</t>
  </si>
  <si>
    <t xml:space="preserve">SDBB1117</t>
  </si>
  <si>
    <t xml:space="preserve">200?</t>
  </si>
  <si>
    <t xml:space="preserve">mibk</t>
  </si>
  <si>
    <t xml:space="preserve">methyl isobutyl ketone</t>
  </si>
  <si>
    <t xml:space="preserve">MIBK</t>
  </si>
  <si>
    <t xml:space="preserve">108-10-1</t>
  </si>
  <si>
    <t xml:space="preserve">C6H12O</t>
  </si>
  <si>
    <t xml:space="preserve">CC(C)CC(=O)C</t>
  </si>
  <si>
    <t xml:space="preserve">Merck Millipor</t>
  </si>
  <si>
    <t xml:space="preserve">K51239346927</t>
  </si>
  <si>
    <t xml:space="preserve">300?</t>
  </si>
  <si>
    <t xml:space="preserve">2octanone</t>
  </si>
  <si>
    <t xml:space="preserve">2-octanone</t>
  </si>
  <si>
    <t xml:space="preserve">Hexyl methyl ketone</t>
  </si>
  <si>
    <t xml:space="preserve">111-13-7</t>
  </si>
  <si>
    <t xml:space="preserve">C8H16O</t>
  </si>
  <si>
    <t xml:space="preserve">CCCCCCC(=O)C</t>
  </si>
  <si>
    <t xml:space="preserve">98.8% (GC)</t>
  </si>
  <si>
    <t xml:space="preserve">SHBQ4121</t>
  </si>
  <si>
    <t xml:space="preserve">thymol</t>
  </si>
  <si>
    <t xml:space="preserve">Thymol</t>
  </si>
  <si>
    <t xml:space="preserve">89-83-8</t>
  </si>
  <si>
    <t xml:space="preserve">C10H14O</t>
  </si>
  <si>
    <t xml:space="preserve">Cc1ccc(C(C)C)c(O)c1</t>
  </si>
  <si>
    <t xml:space="preserve">SHBQ5769</t>
  </si>
  <si>
    <t xml:space="preserve">g</t>
  </si>
  <si>
    <t xml:space="preserve">carvone</t>
  </si>
  <si>
    <t xml:space="preserve">L-Carvone</t>
  </si>
  <si>
    <t xml:space="preserve">(-)-Carvone</t>
  </si>
  <si>
    <t xml:space="preserve">6485-40-1</t>
  </si>
  <si>
    <t xml:space="preserve">C=C(C)[C@@H]1CC=C(C)C(=O)C1</t>
  </si>
  <si>
    <t xml:space="preserve">99.2% (GC)</t>
  </si>
  <si>
    <t xml:space="preserve">SHBQ8402</t>
  </si>
  <si>
    <t xml:space="preserve">kg</t>
  </si>
  <si>
    <t xml:space="preserve">camphor</t>
  </si>
  <si>
    <t xml:space="preserve">DL-Camphor</t>
  </si>
  <si>
    <t xml:space="preserve">76-22-2</t>
  </si>
  <si>
    <t xml:space="preserve">C10H16O</t>
  </si>
  <si>
    <t xml:space="preserve">CC1(C)C2CCC1(C)C(=O)C2</t>
  </si>
  <si>
    <t xml:space="preserve">96.9% (GC)</t>
  </si>
  <si>
    <t xml:space="preserve">SDBB0718</t>
  </si>
  <si>
    <t xml:space="preserve">geraniol</t>
  </si>
  <si>
    <t xml:space="preserve">Geraniol</t>
  </si>
  <si>
    <t xml:space="preserve">106-24-1</t>
  </si>
  <si>
    <t xml:space="preserve">C10H18O</t>
  </si>
  <si>
    <t xml:space="preserve">CC(C)=CCC/C(C)=C/CO</t>
  </si>
  <si>
    <t xml:space="preserve">98.9% (GC)</t>
  </si>
  <si>
    <t xml:space="preserve">SHBP7700</t>
  </si>
  <si>
    <t xml:space="preserve">carvacrol</t>
  </si>
  <si>
    <t xml:space="preserve">Carvacrol</t>
  </si>
  <si>
    <t xml:space="preserve">499-75-2</t>
  </si>
  <si>
    <t xml:space="preserve">Cc1ccc(C(C)C)cc1O</t>
  </si>
  <si>
    <t xml:space="preserve">SHBQ9085</t>
  </si>
  <si>
    <t xml:space="preserve">400?</t>
  </si>
  <si>
    <t xml:space="preserve">eugenol</t>
  </si>
  <si>
    <t xml:space="preserve">Eugenol</t>
  </si>
  <si>
    <t xml:space="preserve">97-53-0</t>
  </si>
  <si>
    <t xml:space="preserve">C10H12O2</t>
  </si>
  <si>
    <t xml:space="preserve">C=CCc1ccc(O)c(OC)c1</t>
  </si>
  <si>
    <t xml:space="preserve">SHBM4053</t>
  </si>
  <si>
    <t xml:space="preserve">500?</t>
  </si>
  <si>
    <t xml:space="preserve">h2o</t>
  </si>
  <si>
    <t xml:space="preserve">Water</t>
  </si>
  <si>
    <t xml:space="preserve">HPLC</t>
  </si>
  <si>
    <t xml:space="preserve">Aroma (soluto)</t>
  </si>
  <si>
    <t xml:space="preserve">Solventes</t>
  </si>
  <si>
    <t xml:space="preserve">DESs</t>
  </si>
  <si>
    <t xml:space="preserve">Agua (diluyente)</t>
  </si>
  <si>
    <t xml:space="preserve">LLE Ternario: β-ionone + Solvente + Agua</t>
  </si>
  <si>
    <t xml:space="preserve">Parámetros</t>
  </si>
  <si>
    <t xml:space="preserve">Masas teóricas: PC-SAFT (Aparicio 4C, T = 30 °C, P = 1 bar, induced association)</t>
  </si>
  <si>
    <t xml:space="preserve">m_total (g)</t>
  </si>
  <si>
    <t xml:space="preserve">Masas teóricas</t>
  </si>
  <si>
    <t xml:space="preserve">Volúmenes</t>
  </si>
  <si>
    <t xml:space="preserve">Masas reales</t>
  </si>
  <si>
    <t xml:space="preserve">ρ β-ionone (g/mL)</t>
  </si>
  <si>
    <t xml:space="preserve">#</t>
  </si>
  <si>
    <t xml:space="preserve">Solvente</t>
  </si>
  <si>
    <t xml:space="preserve">m_beta</t>
  </si>
  <si>
    <t xml:space="preserve">m_solv</t>
  </si>
  <si>
    <t xml:space="preserve">m_agua</t>
  </si>
  <si>
    <t xml:space="preserve">V_beta</t>
  </si>
  <si>
    <t xml:space="preserve">V_solv</t>
  </si>
  <si>
    <t xml:space="preserve">V_agua</t>
  </si>
  <si>
    <t xml:space="preserve">m_tubo</t>
  </si>
  <si>
    <t xml:space="preserve">ρ 1-hexanol (g/mL)</t>
  </si>
  <si>
    <t xml:space="preserve">(g)</t>
  </si>
  <si>
    <t xml:space="preserve">(mL)</t>
  </si>
  <si>
    <t xml:space="preserve">ρ mibk (g/mL)</t>
  </si>
  <si>
    <t xml:space="preserve">BF1</t>
  </si>
  <si>
    <t xml:space="preserve">ρ 2-octanone (g/mL)</t>
  </si>
  <si>
    <t xml:space="preserve">BF2</t>
  </si>
  <si>
    <t xml:space="preserve">ρ agua/30°C (g/mL)</t>
  </si>
  <si>
    <t xml:space="preserve">BF3</t>
  </si>
  <si>
    <t xml:space="preserve">BF4</t>
  </si>
  <si>
    <t xml:space="preserve">BF5</t>
  </si>
  <si>
    <t xml:space="preserve">BM1</t>
  </si>
  <si>
    <t xml:space="preserve">BM2</t>
  </si>
  <si>
    <t xml:space="preserve">BM3</t>
  </si>
  <si>
    <t xml:space="preserve">BM4</t>
  </si>
  <si>
    <t xml:space="preserve">BM5</t>
  </si>
  <si>
    <t xml:space="preserve">BO1</t>
  </si>
  <si>
    <t xml:space="preserve">BO2</t>
  </si>
  <si>
    <t xml:space="preserve">BO3</t>
  </si>
  <si>
    <t xml:space="preserve">BO4</t>
  </si>
  <si>
    <t xml:space="preserve">BO5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</si>
</sst>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%"/>
    <numFmt numFmtId="167" formatCode="0%"/>
    <numFmt numFmtId="168" formatCode="0.0000"/>
    <numFmt numFmtId="169" formatCode="0.00"/>
    <numFmt numFmtId="170" formatCode="#,##0.00"/>
  </numFmts>
  <fonts count="25">
    <font>
      <sz val="11"/>
      <color rgb="FF000000"/>
      <name val="Aptos Narrow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2"/>
      <family val="0"/>
      <charset val="1"/>
    </font>
    <font>
      <b val="true"/>
      <sz val="11"/>
      <color rgb="FF000000"/>
      <name val="Aptos Narrow2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808080"/>
      <name val="Aptos Narrow2"/>
      <family val="0"/>
      <charset val="1"/>
    </font>
    <font>
      <b val="true"/>
      <sz val="24"/>
      <color rgb="FF000000"/>
      <name val="Aptos Narrow2"/>
      <family val="0"/>
      <charset val="1"/>
    </font>
    <font>
      <u val="single"/>
      <sz val="11"/>
      <color rgb="FF0000EE"/>
      <name val="Aptos Narrow2"/>
      <family val="0"/>
      <charset val="1"/>
    </font>
    <font>
      <b val="true"/>
      <i val="true"/>
      <u val="single"/>
      <sz val="11"/>
      <color rgb="FF000000"/>
      <name val="Aptos Narrow2"/>
      <family val="0"/>
      <charset val="1"/>
    </font>
    <font>
      <sz val="11"/>
      <color rgb="FF000000"/>
      <name val="Calibri"/>
      <family val="0"/>
      <charset val="1"/>
    </font>
    <font>
      <sz val="11"/>
      <color rgb="FFCC0000"/>
      <name val="Aptos Narrow2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7"/>
      <color rgb="FF000000"/>
      <name val="Cambria"/>
      <family val="0"/>
      <charset val="1"/>
    </font>
    <font>
      <sz val="11"/>
      <color rgb="FF000000"/>
      <name val="Aptos Narrow1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Arial1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Aptos Narrow"/>
      <family val="0"/>
      <charset val="1"/>
    </font>
    <font>
      <b val="true"/>
      <sz val="13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9"/>
      <name val="Cambria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800000"/>
      </patternFill>
    </fill>
    <fill>
      <patternFill patternType="solid">
        <fgColor rgb="FFFFD966"/>
        <bgColor rgb="FFF4B084"/>
      </patternFill>
    </fill>
    <fill>
      <patternFill patternType="solid">
        <fgColor rgb="FFC5E0B4"/>
        <bgColor rgb="FFD1D1D1"/>
      </patternFill>
    </fill>
    <fill>
      <patternFill patternType="solid">
        <fgColor rgb="FFB4C7E7"/>
        <bgColor rgb="FFBDD7EE"/>
      </patternFill>
    </fill>
    <fill>
      <patternFill patternType="solid">
        <fgColor rgb="FFF4B084"/>
        <bgColor rgb="FFFFD966"/>
      </patternFill>
    </fill>
    <fill>
      <patternFill patternType="solid">
        <fgColor rgb="FFD9D9D9"/>
        <bgColor rgb="FFDDDDDD"/>
      </patternFill>
    </fill>
    <fill>
      <patternFill patternType="solid">
        <fgColor rgb="FF2F5496"/>
        <bgColor rgb="FF666699"/>
      </patternFill>
    </fill>
    <fill>
      <patternFill patternType="solid">
        <fgColor rgb="FFD9E1F2"/>
        <bgColor rgb="FFDDDDDD"/>
      </patternFill>
    </fill>
    <fill>
      <patternFill patternType="solid">
        <fgColor rgb="FFF2CFEE"/>
        <bgColor rgb="FFDDDDDD"/>
      </patternFill>
    </fill>
    <fill>
      <patternFill patternType="solid">
        <fgColor rgb="FFC1E5F5"/>
        <bgColor rgb="FFBDD7EE"/>
      </patternFill>
    </fill>
    <fill>
      <patternFill patternType="solid">
        <fgColor theme="8" tint="0.5999"/>
        <bgColor rgb="FFC1E5F5"/>
      </patternFill>
    </fill>
    <fill>
      <patternFill patternType="solid">
        <fgColor rgb="FFD9F2D0"/>
        <bgColor rgb="FFEBF1DE"/>
      </patternFill>
    </fill>
    <fill>
      <patternFill patternType="solid">
        <fgColor rgb="FFD1D1D1"/>
        <bgColor rgb="FFD9D9D9"/>
      </patternFill>
    </fill>
    <fill>
      <patternFill patternType="solid">
        <fgColor rgb="FFEBF1DE"/>
        <bgColor rgb="FFD9F2D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1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1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1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1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17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1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Default 8" xfId="24"/>
    <cellStyle name="Error 9" xfId="25"/>
    <cellStyle name="Footnote 10" xfId="26"/>
    <cellStyle name="Heading 11" xfId="27"/>
    <cellStyle name="Hyperlink 12" xfId="28"/>
    <cellStyle name="Result 13" xfId="29"/>
    <cellStyle name="Status 14" xfId="30"/>
    <cellStyle name="Text 15" xfId="31"/>
    <cellStyle name="Warning 16" xfId="32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D9D9D9"/>
      <rgbColor rgb="FF993366"/>
      <rgbColor rgb="FFEBF1DE"/>
      <rgbColor rgb="FFC1E5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9F2D0"/>
      <rgbColor rgb="FFDDDDDD"/>
      <rgbColor rgb="FFD1D1D1"/>
      <rgbColor rgb="FFF4B084"/>
      <rgbColor rgb="FFF2CFEE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C5E0B4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F24" activeCellId="0" sqref="F24"/>
    </sheetView>
  </sheetViews>
  <sheetFormatPr defaultColWidth="8.50390625" defaultRowHeight="12.75" customHeight="false" zeroHeight="false" outlineLevelRow="0" outlineLevelCol="0"/>
  <cols>
    <col collapsed="false" customWidth="true" hidden="false" outlineLevel="0" max="1" min="1" style="1" width="17.26"/>
    <col collapsed="false" customWidth="true" hidden="false" outlineLevel="0" max="2" min="2" style="1" width="19"/>
    <col collapsed="false" customWidth="true" hidden="false" outlineLevel="0" max="3" min="3" style="1" width="17.37"/>
    <col collapsed="false" customWidth="true" hidden="false" outlineLevel="0" max="4" min="4" style="1" width="14.37"/>
    <col collapsed="false" customWidth="true" hidden="false" outlineLevel="0" max="5" min="5" style="1" width="12.87"/>
    <col collapsed="false" customWidth="true" hidden="false" outlineLevel="0" max="6" min="6" style="1" width="30"/>
    <col collapsed="false" customWidth="true" hidden="false" outlineLevel="0" max="7" min="7" style="1" width="15.25"/>
    <col collapsed="false" customWidth="true" hidden="false" outlineLevel="0" max="8" min="8" style="1" width="13.12"/>
    <col collapsed="false" customWidth="true" hidden="false" outlineLevel="0" max="9" min="9" style="1" width="13.5"/>
    <col collapsed="false" customWidth="true" hidden="false" outlineLevel="0" max="10" min="10" style="1" width="11.87"/>
    <col collapsed="false" customWidth="true" hidden="false" outlineLevel="0" max="11" min="11" style="1" width="12.25"/>
    <col collapsed="false" customWidth="true" hidden="false" outlineLevel="0" max="12" min="12" style="1" width="9"/>
    <col collapsed="false" customWidth="true" hidden="false" outlineLevel="0" max="13" min="13" style="1" width="14.25"/>
    <col collapsed="false" customWidth="true" hidden="false" outlineLevel="0" max="14" min="14" style="1" width="7.63"/>
    <col collapsed="false" customWidth="true" hidden="false" outlineLevel="0" max="15" min="15" style="1" width="7"/>
    <col collapsed="false" customWidth="true" hidden="false" outlineLevel="0" max="16" min="16" style="1" width="8.76"/>
    <col collapsed="false" customWidth="true" hidden="false" outlineLevel="0" max="18" min="18" style="1" width="11"/>
    <col collapsed="false" customWidth="true" hidden="false" outlineLevel="0" max="19" min="19" style="1" width="11.87"/>
    <col collapsed="false" customWidth="true" hidden="false" outlineLevel="0" max="20" min="20" style="1" width="12.63"/>
    <col collapsed="false" customWidth="true" hidden="false" outlineLevel="0" max="21" min="21" style="1" width="9.87"/>
    <col collapsed="false" customWidth="true" hidden="false" outlineLevel="0" max="22" min="22" style="1" width="14"/>
    <col collapsed="false" customWidth="true" hidden="false" outlineLevel="0" max="23" min="23" style="1" width="11.37"/>
    <col collapsed="false" customWidth="true" hidden="false" outlineLevel="0" max="24" min="24" style="1" width="10.63"/>
    <col collapsed="false" customWidth="true" hidden="false" outlineLevel="0" max="25" min="25" style="1" width="9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4"/>
      <c r="G1" s="5" t="s">
        <v>1</v>
      </c>
      <c r="H1" s="6"/>
      <c r="I1" s="6"/>
      <c r="J1" s="6"/>
      <c r="K1" s="6"/>
      <c r="L1" s="7"/>
      <c r="M1" s="8" t="s">
        <v>2</v>
      </c>
      <c r="N1" s="9"/>
      <c r="O1" s="9"/>
      <c r="P1" s="9"/>
      <c r="Q1" s="9"/>
      <c r="R1" s="10"/>
      <c r="S1" s="11" t="s">
        <v>3</v>
      </c>
      <c r="T1" s="12"/>
      <c r="U1" s="13"/>
      <c r="V1" s="14" t="s">
        <v>4</v>
      </c>
      <c r="W1" s="15"/>
      <c r="X1" s="16"/>
    </row>
    <row r="2" customFormat="false" ht="14.25" hidden="false" customHeight="true" outlineLevel="0" collapsed="false">
      <c r="A2" s="17" t="s">
        <v>5</v>
      </c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AA2" s="18" t="s">
        <v>29</v>
      </c>
      <c r="AB2" s="18" t="s">
        <v>17</v>
      </c>
      <c r="AC2" s="18" t="s">
        <v>30</v>
      </c>
    </row>
    <row r="3" customFormat="false" ht="14.25" hidden="false" customHeight="true" outlineLevel="0" collapsed="false">
      <c r="A3" s="19" t="s">
        <v>31</v>
      </c>
      <c r="B3" s="19" t="s">
        <v>32</v>
      </c>
      <c r="C3" s="19" t="s">
        <v>33</v>
      </c>
      <c r="D3" s="19" t="s">
        <v>34</v>
      </c>
      <c r="E3" s="19" t="s">
        <v>35</v>
      </c>
      <c r="F3" s="19" t="s">
        <v>36</v>
      </c>
      <c r="G3" s="19" t="s">
        <v>37</v>
      </c>
      <c r="H3" s="19" t="s">
        <v>38</v>
      </c>
      <c r="I3" s="19" t="s">
        <v>39</v>
      </c>
      <c r="J3" s="19" t="s">
        <v>40</v>
      </c>
      <c r="K3" s="19" t="s">
        <v>41</v>
      </c>
      <c r="L3" s="19" t="s">
        <v>42</v>
      </c>
      <c r="M3" s="19" t="s">
        <v>43</v>
      </c>
      <c r="N3" s="19" t="s">
        <v>44</v>
      </c>
      <c r="O3" s="19" t="s">
        <v>45</v>
      </c>
      <c r="P3" s="19" t="s">
        <v>46</v>
      </c>
      <c r="Q3" s="19" t="s">
        <v>47</v>
      </c>
      <c r="R3" s="19" t="s">
        <v>48</v>
      </c>
      <c r="S3" s="19" t="s">
        <v>45</v>
      </c>
      <c r="T3" s="19" t="s">
        <v>49</v>
      </c>
      <c r="U3" s="19" t="s">
        <v>50</v>
      </c>
      <c r="V3" s="19" t="s">
        <v>51</v>
      </c>
      <c r="W3" s="19" t="s">
        <v>52</v>
      </c>
      <c r="X3" s="19" t="s">
        <v>53</v>
      </c>
      <c r="AA3" s="1" t="s">
        <v>54</v>
      </c>
      <c r="AB3" s="1" t="n">
        <v>192.3</v>
      </c>
      <c r="AC3" s="1" t="n">
        <v>0.978</v>
      </c>
    </row>
    <row r="4" customFormat="false" ht="14.25" hidden="false" customHeight="true" outlineLevel="0" collapsed="false">
      <c r="A4" s="20" t="s">
        <v>54</v>
      </c>
      <c r="B4" s="20" t="s">
        <v>55</v>
      </c>
      <c r="C4" s="21" t="s">
        <v>56</v>
      </c>
      <c r="D4" s="20" t="s">
        <v>57</v>
      </c>
      <c r="E4" s="22" t="s">
        <v>58</v>
      </c>
      <c r="F4" s="20" t="s">
        <v>59</v>
      </c>
      <c r="G4" s="23" t="s">
        <v>60</v>
      </c>
      <c r="H4" s="20" t="s">
        <v>61</v>
      </c>
      <c r="I4" s="20" t="s">
        <v>62</v>
      </c>
      <c r="J4" s="20" t="s">
        <v>63</v>
      </c>
      <c r="K4" s="20" t="n">
        <v>1</v>
      </c>
      <c r="L4" s="20" t="s">
        <v>64</v>
      </c>
      <c r="M4" s="20" t="n">
        <v>192.3</v>
      </c>
      <c r="N4" s="20" t="n">
        <v>266</v>
      </c>
      <c r="O4" s="21" t="s">
        <v>56</v>
      </c>
      <c r="P4" s="24" t="n">
        <v>0.94498</v>
      </c>
      <c r="Q4" s="25"/>
      <c r="R4" s="26" t="s">
        <v>56</v>
      </c>
      <c r="S4" s="26" t="s">
        <v>56</v>
      </c>
      <c r="T4" s="26" t="s">
        <v>56</v>
      </c>
      <c r="U4" s="26" t="s">
        <v>56</v>
      </c>
      <c r="V4" s="26" t="s">
        <v>56</v>
      </c>
      <c r="W4" s="26" t="s">
        <v>65</v>
      </c>
      <c r="X4" s="20"/>
      <c r="AA4" s="1" t="s">
        <v>66</v>
      </c>
      <c r="AB4" s="1" t="n">
        <v>122.16</v>
      </c>
      <c r="AC4" s="27" t="n">
        <v>1</v>
      </c>
    </row>
    <row r="5" customFormat="false" ht="14.25" hidden="false" customHeight="true" outlineLevel="0" collapsed="false">
      <c r="A5" s="20" t="s">
        <v>66</v>
      </c>
      <c r="B5" s="20" t="s">
        <v>67</v>
      </c>
      <c r="C5" s="21" t="s">
        <v>56</v>
      </c>
      <c r="D5" s="20" t="s">
        <v>68</v>
      </c>
      <c r="E5" s="25" t="s">
        <v>69</v>
      </c>
      <c r="F5" s="20" t="s">
        <v>70</v>
      </c>
      <c r="G5" s="23" t="s">
        <v>71</v>
      </c>
      <c r="H5" s="20" t="s">
        <v>61</v>
      </c>
      <c r="I5" s="20" t="s">
        <v>72</v>
      </c>
      <c r="J5" s="20" t="s">
        <v>73</v>
      </c>
      <c r="K5" s="20" t="n">
        <v>1</v>
      </c>
      <c r="L5" s="20" t="s">
        <v>64</v>
      </c>
      <c r="M5" s="20" t="n">
        <v>122.16</v>
      </c>
      <c r="N5" s="20" t="n">
        <v>219</v>
      </c>
      <c r="O5" s="21" t="s">
        <v>56</v>
      </c>
      <c r="P5" s="24" t="n">
        <v>1.01985</v>
      </c>
      <c r="Q5" s="25"/>
      <c r="R5" s="26" t="s">
        <v>56</v>
      </c>
      <c r="S5" s="26" t="s">
        <v>56</v>
      </c>
      <c r="T5" s="26" t="s">
        <v>56</v>
      </c>
      <c r="U5" s="26" t="s">
        <v>56</v>
      </c>
      <c r="V5" s="26" t="s">
        <v>56</v>
      </c>
      <c r="W5" s="26" t="s">
        <v>65</v>
      </c>
      <c r="X5" s="20"/>
      <c r="AA5" s="1" t="s">
        <v>74</v>
      </c>
      <c r="AB5" s="1" t="n">
        <v>170.25</v>
      </c>
      <c r="AC5" s="1" t="n">
        <v>0.987</v>
      </c>
    </row>
    <row r="6" customFormat="false" ht="14.25" hidden="false" customHeight="true" outlineLevel="0" collapsed="false">
      <c r="A6" s="20" t="s">
        <v>74</v>
      </c>
      <c r="B6" s="20" t="s">
        <v>75</v>
      </c>
      <c r="C6" s="21" t="s">
        <v>56</v>
      </c>
      <c r="D6" s="20" t="s">
        <v>76</v>
      </c>
      <c r="E6" s="25" t="s">
        <v>77</v>
      </c>
      <c r="F6" s="20" t="s">
        <v>78</v>
      </c>
      <c r="G6" s="23" t="s">
        <v>71</v>
      </c>
      <c r="H6" s="20" t="s">
        <v>61</v>
      </c>
      <c r="I6" s="20" t="s">
        <v>79</v>
      </c>
      <c r="J6" s="20" t="s">
        <v>80</v>
      </c>
      <c r="K6" s="20" t="n">
        <v>1</v>
      </c>
      <c r="L6" s="20" t="s">
        <v>64</v>
      </c>
      <c r="M6" s="20" t="n">
        <v>170.25</v>
      </c>
      <c r="N6" s="20" t="n">
        <v>285</v>
      </c>
      <c r="O6" s="21" t="s">
        <v>56</v>
      </c>
      <c r="P6" s="24" t="n">
        <v>0.95292</v>
      </c>
      <c r="Q6" s="25"/>
      <c r="R6" s="26" t="s">
        <v>56</v>
      </c>
      <c r="S6" s="26" t="s">
        <v>56</v>
      </c>
      <c r="T6" s="26" t="s">
        <v>56</v>
      </c>
      <c r="U6" s="26" t="s">
        <v>56</v>
      </c>
      <c r="V6" s="26" t="s">
        <v>56</v>
      </c>
      <c r="W6" s="26" t="s">
        <v>65</v>
      </c>
      <c r="X6" s="20"/>
      <c r="AA6" s="1" t="s">
        <v>81</v>
      </c>
      <c r="AB6" s="1" t="n">
        <v>86.13</v>
      </c>
      <c r="AC6" s="1" t="n">
        <v>0.996</v>
      </c>
    </row>
    <row r="7" customFormat="false" ht="14.25" hidden="false" customHeight="true" outlineLevel="0" collapsed="false">
      <c r="A7" s="28" t="s">
        <v>81</v>
      </c>
      <c r="B7" s="28" t="s">
        <v>82</v>
      </c>
      <c r="C7" s="28" t="s">
        <v>83</v>
      </c>
      <c r="D7" s="28" t="s">
        <v>84</v>
      </c>
      <c r="E7" s="28" t="s">
        <v>85</v>
      </c>
      <c r="F7" s="28" t="s">
        <v>86</v>
      </c>
      <c r="G7" s="29" t="s">
        <v>60</v>
      </c>
      <c r="H7" s="28" t="s">
        <v>87</v>
      </c>
      <c r="I7" s="30" t="s">
        <v>88</v>
      </c>
      <c r="J7" s="28" t="s">
        <v>89</v>
      </c>
      <c r="K7" s="29" t="n">
        <v>1</v>
      </c>
      <c r="L7" s="28" t="s">
        <v>64</v>
      </c>
      <c r="M7" s="28" t="n">
        <v>86.13</v>
      </c>
      <c r="N7" s="28" t="n">
        <v>99</v>
      </c>
      <c r="O7" s="31" t="s">
        <v>56</v>
      </c>
      <c r="P7" s="32" t="n">
        <v>0.82388</v>
      </c>
      <c r="Q7" s="33"/>
      <c r="R7" s="28" t="s">
        <v>56</v>
      </c>
      <c r="S7" s="28" t="s">
        <v>56</v>
      </c>
      <c r="T7" s="28" t="s">
        <v>56</v>
      </c>
      <c r="U7" s="28" t="s">
        <v>56</v>
      </c>
      <c r="V7" s="28" t="s">
        <v>56</v>
      </c>
      <c r="W7" s="28" t="s">
        <v>65</v>
      </c>
      <c r="X7" s="28"/>
      <c r="AA7" s="1" t="s">
        <v>90</v>
      </c>
      <c r="AB7" s="1" t="n">
        <v>88.15</v>
      </c>
      <c r="AC7" s="27" t="n">
        <v>1</v>
      </c>
    </row>
    <row r="8" customFormat="false" ht="14.25" hidden="false" customHeight="true" outlineLevel="0" collapsed="false">
      <c r="A8" s="34" t="s">
        <v>90</v>
      </c>
      <c r="B8" s="34" t="s">
        <v>91</v>
      </c>
      <c r="C8" s="34" t="s">
        <v>92</v>
      </c>
      <c r="D8" s="34" t="s">
        <v>93</v>
      </c>
      <c r="E8" s="35" t="s">
        <v>94</v>
      </c>
      <c r="F8" s="34" t="s">
        <v>95</v>
      </c>
      <c r="G8" s="36" t="n">
        <v>3.2</v>
      </c>
      <c r="H8" s="34" t="s">
        <v>61</v>
      </c>
      <c r="I8" s="37" t="s">
        <v>96</v>
      </c>
      <c r="J8" s="34" t="s">
        <v>97</v>
      </c>
      <c r="K8" s="36" t="n">
        <v>1</v>
      </c>
      <c r="L8" s="34" t="s">
        <v>64</v>
      </c>
      <c r="M8" s="34" t="n">
        <v>88.15</v>
      </c>
      <c r="N8" s="34" t="n">
        <v>102</v>
      </c>
      <c r="O8" s="38" t="s">
        <v>56</v>
      </c>
      <c r="P8" s="32" t="n">
        <v>0.80899</v>
      </c>
      <c r="Q8" s="39"/>
      <c r="R8" s="34" t="s">
        <v>56</v>
      </c>
      <c r="S8" s="34" t="s">
        <v>56</v>
      </c>
      <c r="T8" s="34" t="s">
        <v>56</v>
      </c>
      <c r="U8" s="34" t="s">
        <v>56</v>
      </c>
      <c r="V8" s="34" t="s">
        <v>56</v>
      </c>
      <c r="W8" s="34" t="s">
        <v>65</v>
      </c>
      <c r="X8" s="34"/>
      <c r="AA8" s="1" t="s">
        <v>98</v>
      </c>
      <c r="AB8" s="1" t="n">
        <v>102.17</v>
      </c>
      <c r="AC8" s="1" t="n">
        <v>0.998</v>
      </c>
    </row>
    <row r="9" customFormat="false" ht="14.25" hidden="false" customHeight="true" outlineLevel="0" collapsed="false">
      <c r="A9" s="34" t="s">
        <v>98</v>
      </c>
      <c r="B9" s="34" t="s">
        <v>99</v>
      </c>
      <c r="C9" s="34" t="s">
        <v>56</v>
      </c>
      <c r="D9" s="34" t="s">
        <v>100</v>
      </c>
      <c r="E9" s="34" t="s">
        <v>101</v>
      </c>
      <c r="F9" s="34" t="s">
        <v>102</v>
      </c>
      <c r="G9" s="36" t="s">
        <v>103</v>
      </c>
      <c r="H9" s="34" t="s">
        <v>61</v>
      </c>
      <c r="I9" s="34" t="s">
        <v>104</v>
      </c>
      <c r="J9" s="34" t="s">
        <v>105</v>
      </c>
      <c r="K9" s="36" t="n">
        <v>700</v>
      </c>
      <c r="L9" s="34" t="s">
        <v>106</v>
      </c>
      <c r="M9" s="34" t="n">
        <v>102.17</v>
      </c>
      <c r="N9" s="34" t="n">
        <v>156</v>
      </c>
      <c r="O9" s="38" t="s">
        <v>56</v>
      </c>
      <c r="P9" s="32" t="n">
        <v>0.81883</v>
      </c>
      <c r="Q9" s="39"/>
      <c r="R9" s="34" t="s">
        <v>56</v>
      </c>
      <c r="S9" s="34" t="s">
        <v>56</v>
      </c>
      <c r="T9" s="34" t="s">
        <v>56</v>
      </c>
      <c r="U9" s="34" t="s">
        <v>56</v>
      </c>
      <c r="V9" s="34" t="s">
        <v>56</v>
      </c>
      <c r="W9" s="34" t="s">
        <v>65</v>
      </c>
      <c r="X9" s="34"/>
      <c r="AA9" s="1" t="s">
        <v>107</v>
      </c>
      <c r="AB9" s="1" t="n">
        <v>130.23</v>
      </c>
      <c r="AC9" s="1" t="n">
        <v>0.997</v>
      </c>
    </row>
    <row r="10" customFormat="false" ht="14.25" hidden="false" customHeight="true" outlineLevel="0" collapsed="false">
      <c r="A10" s="34" t="s">
        <v>107</v>
      </c>
      <c r="B10" s="34" t="s">
        <v>108</v>
      </c>
      <c r="C10" s="34" t="s">
        <v>56</v>
      </c>
      <c r="D10" s="34" t="s">
        <v>109</v>
      </c>
      <c r="E10" s="34" t="s">
        <v>110</v>
      </c>
      <c r="F10" s="34" t="s">
        <v>111</v>
      </c>
      <c r="G10" s="36" t="n">
        <v>1.2</v>
      </c>
      <c r="H10" s="34" t="s">
        <v>61</v>
      </c>
      <c r="I10" s="34" t="s">
        <v>112</v>
      </c>
      <c r="J10" s="34" t="s">
        <v>113</v>
      </c>
      <c r="K10" s="36" t="s">
        <v>114</v>
      </c>
      <c r="L10" s="34" t="s">
        <v>106</v>
      </c>
      <c r="M10" s="34" t="n">
        <v>130.23</v>
      </c>
      <c r="N10" s="34" t="n">
        <v>195</v>
      </c>
      <c r="O10" s="38" t="s">
        <v>56</v>
      </c>
      <c r="P10" s="40" t="n">
        <v>0.82518</v>
      </c>
      <c r="Q10" s="39"/>
      <c r="R10" s="34" t="s">
        <v>56</v>
      </c>
      <c r="S10" s="34" t="s">
        <v>56</v>
      </c>
      <c r="T10" s="34" t="s">
        <v>56</v>
      </c>
      <c r="U10" s="34" t="s">
        <v>56</v>
      </c>
      <c r="V10" s="34" t="s">
        <v>56</v>
      </c>
      <c r="W10" s="34" t="s">
        <v>65</v>
      </c>
      <c r="X10" s="34"/>
      <c r="AA10" s="1" t="s">
        <v>115</v>
      </c>
      <c r="AB10" s="1" t="n">
        <v>100.16</v>
      </c>
      <c r="AC10" s="1" t="n">
        <v>0.998</v>
      </c>
    </row>
    <row r="11" customFormat="false" ht="14.25" hidden="false" customHeight="true" outlineLevel="0" collapsed="false">
      <c r="A11" s="34" t="s">
        <v>115</v>
      </c>
      <c r="B11" s="34" t="s">
        <v>116</v>
      </c>
      <c r="C11" s="34" t="s">
        <v>117</v>
      </c>
      <c r="D11" s="34" t="s">
        <v>118</v>
      </c>
      <c r="E11" s="35" t="s">
        <v>119</v>
      </c>
      <c r="F11" s="34" t="s">
        <v>120</v>
      </c>
      <c r="G11" s="36" t="n">
        <v>2.4</v>
      </c>
      <c r="H11" s="34" t="s">
        <v>121</v>
      </c>
      <c r="I11" s="34" t="s">
        <v>104</v>
      </c>
      <c r="J11" s="34" t="s">
        <v>122</v>
      </c>
      <c r="K11" s="36" t="s">
        <v>123</v>
      </c>
      <c r="L11" s="34" t="s">
        <v>106</v>
      </c>
      <c r="M11" s="34" t="n">
        <v>100.16</v>
      </c>
      <c r="N11" s="34" t="n">
        <v>115</v>
      </c>
      <c r="O11" s="38" t="s">
        <v>56</v>
      </c>
      <c r="P11" s="40" t="n">
        <v>0.80143</v>
      </c>
      <c r="Q11" s="39"/>
      <c r="R11" s="34" t="s">
        <v>56</v>
      </c>
      <c r="S11" s="34" t="s">
        <v>56</v>
      </c>
      <c r="T11" s="34" t="s">
        <v>56</v>
      </c>
      <c r="U11" s="34" t="s">
        <v>56</v>
      </c>
      <c r="V11" s="34" t="s">
        <v>56</v>
      </c>
      <c r="W11" s="34" t="s">
        <v>65</v>
      </c>
      <c r="X11" s="34"/>
      <c r="AA11" s="1" t="s">
        <v>124</v>
      </c>
      <c r="AB11" s="1" t="n">
        <v>128.21</v>
      </c>
      <c r="AC11" s="1" t="n">
        <v>0.988</v>
      </c>
    </row>
    <row r="12" customFormat="false" ht="14.25" hidden="false" customHeight="true" outlineLevel="0" collapsed="false">
      <c r="A12" s="34" t="s">
        <v>124</v>
      </c>
      <c r="B12" s="34" t="s">
        <v>125</v>
      </c>
      <c r="C12" s="34" t="s">
        <v>126</v>
      </c>
      <c r="D12" s="34" t="s">
        <v>127</v>
      </c>
      <c r="E12" s="35" t="s">
        <v>128</v>
      </c>
      <c r="F12" s="34" t="s">
        <v>129</v>
      </c>
      <c r="G12" s="36" t="n">
        <v>3.2</v>
      </c>
      <c r="H12" s="34" t="s">
        <v>61</v>
      </c>
      <c r="I12" s="41" t="s">
        <v>130</v>
      </c>
      <c r="J12" s="34" t="s">
        <v>131</v>
      </c>
      <c r="K12" s="36" t="s">
        <v>114</v>
      </c>
      <c r="L12" s="34" t="s">
        <v>106</v>
      </c>
      <c r="M12" s="34" t="n">
        <v>128.21</v>
      </c>
      <c r="N12" s="34" t="n">
        <v>173</v>
      </c>
      <c r="O12" s="38" t="s">
        <v>56</v>
      </c>
      <c r="P12" s="32" t="n">
        <v>0.81906</v>
      </c>
      <c r="Q12" s="39"/>
      <c r="R12" s="34" t="s">
        <v>56</v>
      </c>
      <c r="S12" s="34" t="s">
        <v>56</v>
      </c>
      <c r="T12" s="34" t="s">
        <v>56</v>
      </c>
      <c r="U12" s="34" t="s">
        <v>56</v>
      </c>
      <c r="V12" s="34" t="s">
        <v>56</v>
      </c>
      <c r="W12" s="34" t="s">
        <v>65</v>
      </c>
      <c r="X12" s="34"/>
    </row>
    <row r="13" customFormat="false" ht="14.25" hidden="false" customHeight="true" outlineLevel="0" collapsed="false">
      <c r="A13" s="42" t="s">
        <v>132</v>
      </c>
      <c r="B13" s="42" t="s">
        <v>133</v>
      </c>
      <c r="C13" s="42" t="s">
        <v>56</v>
      </c>
      <c r="D13" s="42" t="s">
        <v>134</v>
      </c>
      <c r="E13" s="42" t="s">
        <v>135</v>
      </c>
      <c r="F13" s="42" t="s">
        <v>136</v>
      </c>
      <c r="G13" s="43" t="n">
        <v>1.2</v>
      </c>
      <c r="H13" s="42" t="s">
        <v>61</v>
      </c>
      <c r="I13" s="42" t="s">
        <v>96</v>
      </c>
      <c r="J13" s="42" t="s">
        <v>137</v>
      </c>
      <c r="K13" s="43" t="n">
        <v>800</v>
      </c>
      <c r="L13" s="42" t="s">
        <v>138</v>
      </c>
      <c r="M13" s="42" t="n">
        <v>150.22</v>
      </c>
      <c r="N13" s="42" t="n">
        <v>233</v>
      </c>
      <c r="O13" s="42" t="s">
        <v>56</v>
      </c>
      <c r="P13" s="44" t="n">
        <v>0.96</v>
      </c>
      <c r="Q13" s="42"/>
      <c r="R13" s="42" t="s">
        <v>56</v>
      </c>
      <c r="S13" s="42" t="s">
        <v>56</v>
      </c>
      <c r="T13" s="42" t="s">
        <v>56</v>
      </c>
      <c r="U13" s="42" t="s">
        <v>56</v>
      </c>
      <c r="V13" s="42" t="s">
        <v>56</v>
      </c>
      <c r="W13" s="42" t="s">
        <v>65</v>
      </c>
      <c r="X13" s="42"/>
    </row>
    <row r="14" customFormat="false" ht="14.25" hidden="false" customHeight="true" outlineLevel="0" collapsed="false">
      <c r="A14" s="42" t="s">
        <v>139</v>
      </c>
      <c r="B14" s="42" t="s">
        <v>140</v>
      </c>
      <c r="C14" s="42" t="s">
        <v>141</v>
      </c>
      <c r="D14" s="42" t="s">
        <v>142</v>
      </c>
      <c r="E14" s="45" t="s">
        <v>135</v>
      </c>
      <c r="F14" s="46" t="s">
        <v>143</v>
      </c>
      <c r="G14" s="47" t="n">
        <v>1.2</v>
      </c>
      <c r="H14" s="42" t="s">
        <v>61</v>
      </c>
      <c r="I14" s="42" t="s">
        <v>144</v>
      </c>
      <c r="J14" s="42" t="s">
        <v>145</v>
      </c>
      <c r="K14" s="43" t="n">
        <v>1</v>
      </c>
      <c r="L14" s="42" t="s">
        <v>146</v>
      </c>
      <c r="M14" s="42" t="n">
        <v>150.22</v>
      </c>
      <c r="N14" s="42" t="n">
        <v>226</v>
      </c>
      <c r="O14" s="42" t="s">
        <v>56</v>
      </c>
      <c r="P14" s="48" t="n">
        <v>0.96</v>
      </c>
      <c r="Q14" s="42"/>
      <c r="R14" s="42" t="s">
        <v>56</v>
      </c>
      <c r="S14" s="42" t="s">
        <v>56</v>
      </c>
      <c r="T14" s="42" t="s">
        <v>56</v>
      </c>
      <c r="U14" s="42" t="s">
        <v>56</v>
      </c>
      <c r="V14" s="42" t="s">
        <v>56</v>
      </c>
      <c r="W14" s="42" t="s">
        <v>65</v>
      </c>
      <c r="X14" s="42"/>
    </row>
    <row r="15" customFormat="false" ht="14.25" hidden="false" customHeight="true" outlineLevel="0" collapsed="false">
      <c r="A15" s="42" t="s">
        <v>147</v>
      </c>
      <c r="B15" s="42" t="s">
        <v>148</v>
      </c>
      <c r="C15" s="42" t="s">
        <v>56</v>
      </c>
      <c r="D15" s="42" t="s">
        <v>149</v>
      </c>
      <c r="E15" s="49" t="s">
        <v>150</v>
      </c>
      <c r="F15" s="42" t="s">
        <v>151</v>
      </c>
      <c r="G15" s="43" t="n">
        <v>3.2</v>
      </c>
      <c r="H15" s="50" t="s">
        <v>61</v>
      </c>
      <c r="I15" s="42" t="s">
        <v>152</v>
      </c>
      <c r="J15" s="42" t="s">
        <v>153</v>
      </c>
      <c r="K15" s="43" t="n">
        <v>250</v>
      </c>
      <c r="L15" s="42" t="s">
        <v>138</v>
      </c>
      <c r="M15" s="42" t="n">
        <v>152.24</v>
      </c>
      <c r="N15" s="42" t="n">
        <v>210</v>
      </c>
      <c r="O15" s="42" t="s">
        <v>56</v>
      </c>
      <c r="P15" s="48" t="n">
        <v>0.99</v>
      </c>
      <c r="Q15" s="42"/>
      <c r="R15" s="42" t="s">
        <v>56</v>
      </c>
      <c r="S15" s="42" t="s">
        <v>56</v>
      </c>
      <c r="T15" s="42" t="s">
        <v>56</v>
      </c>
      <c r="U15" s="42" t="s">
        <v>56</v>
      </c>
      <c r="V15" s="42" t="s">
        <v>56</v>
      </c>
      <c r="W15" s="42" t="s">
        <v>65</v>
      </c>
      <c r="X15" s="42"/>
    </row>
    <row r="16" customFormat="false" ht="14.25" hidden="false" customHeight="true" outlineLevel="0" collapsed="false">
      <c r="A16" s="42" t="s">
        <v>154</v>
      </c>
      <c r="B16" s="42" t="s">
        <v>155</v>
      </c>
      <c r="C16" s="42" t="s">
        <v>56</v>
      </c>
      <c r="D16" s="42" t="s">
        <v>156</v>
      </c>
      <c r="E16" s="49" t="s">
        <v>157</v>
      </c>
      <c r="F16" s="42" t="s">
        <v>158</v>
      </c>
      <c r="G16" s="43" t="n">
        <v>2.3</v>
      </c>
      <c r="H16" s="50" t="s">
        <v>61</v>
      </c>
      <c r="I16" s="42" t="s">
        <v>159</v>
      </c>
      <c r="J16" s="42" t="s">
        <v>160</v>
      </c>
      <c r="K16" s="43" t="n">
        <v>700</v>
      </c>
      <c r="L16" s="42" t="s">
        <v>138</v>
      </c>
      <c r="M16" s="42" t="n">
        <v>154.25</v>
      </c>
      <c r="N16" s="42" t="n">
        <v>229</v>
      </c>
      <c r="O16" s="42" t="s">
        <v>56</v>
      </c>
      <c r="P16" s="42" t="n">
        <v>0.889</v>
      </c>
      <c r="Q16" s="42"/>
      <c r="R16" s="42" t="s">
        <v>56</v>
      </c>
      <c r="S16" s="42" t="s">
        <v>56</v>
      </c>
      <c r="T16" s="42" t="s">
        <v>56</v>
      </c>
      <c r="U16" s="42" t="s">
        <v>56</v>
      </c>
      <c r="V16" s="42" t="s">
        <v>56</v>
      </c>
      <c r="W16" s="42" t="s">
        <v>65</v>
      </c>
      <c r="X16" s="42"/>
    </row>
    <row r="17" customFormat="false" ht="14.25" hidden="false" customHeight="true" outlineLevel="0" collapsed="false">
      <c r="A17" s="42" t="s">
        <v>161</v>
      </c>
      <c r="B17" s="42" t="s">
        <v>162</v>
      </c>
      <c r="C17" s="42" t="s">
        <v>56</v>
      </c>
      <c r="D17" s="42" t="s">
        <v>163</v>
      </c>
      <c r="E17" s="49" t="s">
        <v>135</v>
      </c>
      <c r="F17" s="42" t="s">
        <v>164</v>
      </c>
      <c r="G17" s="43" t="n">
        <v>2.1</v>
      </c>
      <c r="H17" s="50" t="s">
        <v>61</v>
      </c>
      <c r="I17" s="42" t="s">
        <v>112</v>
      </c>
      <c r="J17" s="42" t="s">
        <v>165</v>
      </c>
      <c r="K17" s="43" t="s">
        <v>166</v>
      </c>
      <c r="L17" s="42" t="s">
        <v>106</v>
      </c>
      <c r="M17" s="42" t="n">
        <v>150.22</v>
      </c>
      <c r="N17" s="42" t="n">
        <v>239</v>
      </c>
      <c r="O17" s="42" t="s">
        <v>56</v>
      </c>
      <c r="P17" s="42" t="n">
        <v>0.977</v>
      </c>
      <c r="Q17" s="42"/>
      <c r="R17" s="42" t="s">
        <v>56</v>
      </c>
      <c r="S17" s="42" t="s">
        <v>56</v>
      </c>
      <c r="T17" s="42" t="s">
        <v>56</v>
      </c>
      <c r="U17" s="42" t="s">
        <v>56</v>
      </c>
      <c r="V17" s="42" t="s">
        <v>56</v>
      </c>
      <c r="W17" s="42" t="s">
        <v>65</v>
      </c>
      <c r="X17" s="42"/>
    </row>
    <row r="18" customFormat="false" ht="14.25" hidden="false" customHeight="true" outlineLevel="0" collapsed="false">
      <c r="A18" s="42" t="s">
        <v>167</v>
      </c>
      <c r="B18" s="42" t="s">
        <v>168</v>
      </c>
      <c r="C18" s="42" t="s">
        <v>56</v>
      </c>
      <c r="D18" s="42" t="s">
        <v>169</v>
      </c>
      <c r="E18" s="45" t="s">
        <v>170</v>
      </c>
      <c r="F18" s="42" t="s">
        <v>171</v>
      </c>
      <c r="G18" s="43" t="n">
        <v>1.3</v>
      </c>
      <c r="H18" s="50" t="s">
        <v>61</v>
      </c>
      <c r="I18" s="42" t="s">
        <v>144</v>
      </c>
      <c r="J18" s="42" t="s">
        <v>172</v>
      </c>
      <c r="K18" s="43" t="s">
        <v>173</v>
      </c>
      <c r="L18" s="42" t="s">
        <v>106</v>
      </c>
      <c r="M18" s="42" t="n">
        <v>164.2</v>
      </c>
      <c r="N18" s="42" t="n">
        <v>215</v>
      </c>
      <c r="O18" s="42" t="s">
        <v>56</v>
      </c>
      <c r="P18" s="48" t="n">
        <v>1.06</v>
      </c>
      <c r="Q18" s="42"/>
      <c r="R18" s="42" t="s">
        <v>56</v>
      </c>
      <c r="S18" s="42" t="s">
        <v>56</v>
      </c>
      <c r="T18" s="42" t="s">
        <v>56</v>
      </c>
      <c r="U18" s="42" t="s">
        <v>56</v>
      </c>
      <c r="V18" s="42" t="s">
        <v>56</v>
      </c>
      <c r="W18" s="42" t="s">
        <v>65</v>
      </c>
      <c r="X18" s="42"/>
    </row>
    <row r="19" customFormat="false" ht="14.25" hidden="false" customHeight="true" outlineLevel="0" collapsed="false">
      <c r="A19" s="51" t="s">
        <v>174</v>
      </c>
      <c r="B19" s="51" t="s">
        <v>175</v>
      </c>
      <c r="C19" s="51" t="s">
        <v>56</v>
      </c>
      <c r="D19" s="51" t="s">
        <v>56</v>
      </c>
      <c r="E19" s="51" t="s">
        <v>56</v>
      </c>
      <c r="F19" s="52"/>
      <c r="G19" s="53" t="s">
        <v>56</v>
      </c>
      <c r="H19" s="51" t="s">
        <v>56</v>
      </c>
      <c r="I19" s="51" t="s">
        <v>176</v>
      </c>
      <c r="J19" s="51" t="s">
        <v>56</v>
      </c>
      <c r="K19" s="54" t="s">
        <v>56</v>
      </c>
      <c r="L19" s="51" t="s">
        <v>56</v>
      </c>
      <c r="M19" s="51" t="n">
        <v>18.02</v>
      </c>
      <c r="N19" s="51" t="n">
        <v>100</v>
      </c>
      <c r="O19" s="51" t="s">
        <v>56</v>
      </c>
      <c r="P19" s="51"/>
      <c r="Q19" s="51"/>
      <c r="R19" s="51" t="s">
        <v>56</v>
      </c>
      <c r="S19" s="51" t="s">
        <v>56</v>
      </c>
      <c r="T19" s="51" t="s">
        <v>56</v>
      </c>
      <c r="U19" s="51" t="s">
        <v>56</v>
      </c>
      <c r="V19" s="51" t="s">
        <v>56</v>
      </c>
      <c r="W19" s="51" t="s">
        <v>65</v>
      </c>
      <c r="X19" s="51"/>
    </row>
    <row r="20" customFormat="false" ht="14.25" hidden="false" customHeight="true" outlineLevel="0" collapsed="false"/>
    <row r="21" customFormat="false" ht="14.25" hidden="false" customHeight="true" outlineLevel="0" collapsed="false">
      <c r="A21" s="55"/>
      <c r="B21" s="1" t="s">
        <v>177</v>
      </c>
    </row>
    <row r="22" customFormat="false" ht="15" hidden="false" customHeight="true" outlineLevel="0" collapsed="false">
      <c r="A22" s="56"/>
      <c r="B22" s="57" t="s">
        <v>178</v>
      </c>
    </row>
    <row r="23" customFormat="false" ht="14.25" hidden="false" customHeight="true" outlineLevel="0" collapsed="false">
      <c r="A23" s="58"/>
      <c r="B23" s="1" t="s">
        <v>179</v>
      </c>
    </row>
    <row r="24" customFormat="false" ht="15" hidden="false" customHeight="true" outlineLevel="0" collapsed="false">
      <c r="A24" s="59"/>
      <c r="B24" s="57" t="s">
        <v>180</v>
      </c>
    </row>
  </sheetData>
  <printOptions headings="false" gridLines="false" gridLinesSet="true" horizontalCentered="false" verticalCentered="false"/>
  <pageMargins left="0.7" right="0.7" top="1.14375" bottom="1.14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8" min="3" style="1" width="10"/>
    <col collapsed="false" customWidth="true" hidden="false" outlineLevel="0" max="9" min="9" style="1" width="4"/>
    <col collapsed="false" customWidth="true" hidden="false" outlineLevel="0" max="10" min="10" style="1" width="14.46"/>
    <col collapsed="false" customWidth="true" hidden="false" outlineLevel="0" max="12" min="11" style="1" width="10"/>
    <col collapsed="false" customWidth="true" hidden="false" outlineLevel="0" max="13" min="13" style="1" width="15.81"/>
    <col collapsed="false" customWidth="true" hidden="false" outlineLevel="0" max="14" min="14" style="1" width="22"/>
    <col collapsed="false" customWidth="true" hidden="true" outlineLevel="0" max="15" min="15" style="1" width="12"/>
    <col collapsed="false" customWidth="true" hidden="true" outlineLevel="0" max="17" min="16" style="1" width="10"/>
    <col collapsed="false" customWidth="true" hidden="false" outlineLevel="0" max="18" min="18" style="1" width="23.9"/>
  </cols>
  <sheetData>
    <row r="1" customFormat="false" ht="15.75" hidden="false" customHeight="true" outlineLevel="0" collapsed="false">
      <c r="A1" s="60" t="s">
        <v>181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R1" s="61" t="s">
        <v>182</v>
      </c>
    </row>
    <row r="2" customFormat="false" ht="15" hidden="false" customHeight="true" outlineLevel="0" collapsed="false">
      <c r="A2" s="62" t="s">
        <v>183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R2" s="63" t="s">
        <v>184</v>
      </c>
      <c r="S2" s="63" t="n">
        <v>7</v>
      </c>
    </row>
    <row r="3" customFormat="false" ht="52.7" hidden="false" customHeight="true" outlineLevel="0" collapsed="false">
      <c r="C3" s="64" t="s">
        <v>185</v>
      </c>
      <c r="D3" s="64"/>
      <c r="E3" s="64"/>
      <c r="F3" s="64" t="s">
        <v>186</v>
      </c>
      <c r="G3" s="64"/>
      <c r="H3" s="64"/>
      <c r="J3" s="0"/>
      <c r="K3" s="64" t="s">
        <v>187</v>
      </c>
      <c r="L3" s="64"/>
      <c r="M3" s="64"/>
      <c r="O3" s="1" t="n">
        <v>0.93805</v>
      </c>
      <c r="R3" s="63" t="s">
        <v>188</v>
      </c>
      <c r="S3" s="63" t="n">
        <v>0.94498</v>
      </c>
    </row>
    <row r="4" customFormat="false" ht="52.7" hidden="false" customHeight="true" outlineLevel="0" collapsed="false">
      <c r="A4" s="65" t="s">
        <v>189</v>
      </c>
      <c r="B4" s="65" t="s">
        <v>190</v>
      </c>
      <c r="C4" s="65" t="s">
        <v>191</v>
      </c>
      <c r="D4" s="65" t="s">
        <v>192</v>
      </c>
      <c r="E4" s="65" t="s">
        <v>193</v>
      </c>
      <c r="F4" s="65" t="s">
        <v>194</v>
      </c>
      <c r="G4" s="65" t="s">
        <v>195</v>
      </c>
      <c r="H4" s="65" t="s">
        <v>196</v>
      </c>
      <c r="I4" s="66"/>
      <c r="J4" s="65" t="s">
        <v>197</v>
      </c>
      <c r="K4" s="65" t="s">
        <v>191</v>
      </c>
      <c r="L4" s="65" t="s">
        <v>192</v>
      </c>
      <c r="M4" s="65" t="s">
        <v>193</v>
      </c>
      <c r="O4" s="1" t="n">
        <v>0.81604</v>
      </c>
      <c r="R4" s="63" t="s">
        <v>198</v>
      </c>
      <c r="S4" s="63" t="n">
        <v>0.81883</v>
      </c>
    </row>
    <row r="5" customFormat="false" ht="52.7" hidden="false" customHeight="true" outlineLevel="0" collapsed="false">
      <c r="A5" s="67"/>
      <c r="B5" s="67"/>
      <c r="C5" s="67" t="s">
        <v>199</v>
      </c>
      <c r="D5" s="67" t="s">
        <v>199</v>
      </c>
      <c r="E5" s="67" t="s">
        <v>199</v>
      </c>
      <c r="F5" s="67" t="s">
        <v>200</v>
      </c>
      <c r="G5" s="67" t="s">
        <v>200</v>
      </c>
      <c r="H5" s="67" t="s">
        <v>200</v>
      </c>
      <c r="I5" s="67"/>
      <c r="J5" s="67" t="s">
        <v>199</v>
      </c>
      <c r="K5" s="67" t="s">
        <v>199</v>
      </c>
      <c r="L5" s="67" t="s">
        <v>199</v>
      </c>
      <c r="M5" s="67" t="s">
        <v>199</v>
      </c>
      <c r="O5" s="1" t="n">
        <v>0.79172</v>
      </c>
      <c r="R5" s="63" t="s">
        <v>201</v>
      </c>
      <c r="S5" s="63" t="n">
        <v>0.80143</v>
      </c>
    </row>
    <row r="6" customFormat="false" ht="52.7" hidden="false" customHeight="true" outlineLevel="0" collapsed="false">
      <c r="A6" s="68" t="s">
        <v>202</v>
      </c>
      <c r="B6" s="66" t="s">
        <v>99</v>
      </c>
      <c r="C6" s="69" t="n">
        <f aca="false">P6*$S$2</f>
        <v>3.325</v>
      </c>
      <c r="D6" s="69" t="n">
        <f aca="false">Q6*$S$2</f>
        <v>0.1407</v>
      </c>
      <c r="E6" s="69" t="n">
        <f aca="false">(1-P6-Q6)*$S$2</f>
        <v>3.5343</v>
      </c>
      <c r="F6" s="70" t="n">
        <f aca="false">C6/$S$3</f>
        <v>3.51859298609494</v>
      </c>
      <c r="G6" s="70" t="n">
        <f aca="false">D6/$S$4</f>
        <v>0.171830538695456</v>
      </c>
      <c r="H6" s="70" t="n">
        <f aca="false">E6/$S$7</f>
        <v>3.54963442069741</v>
      </c>
      <c r="I6" s="68"/>
      <c r="J6" s="68"/>
      <c r="K6" s="68"/>
      <c r="L6" s="68"/>
      <c r="O6" s="1" t="n">
        <v>0.80988</v>
      </c>
      <c r="P6" s="1" t="n">
        <v>0.475</v>
      </c>
      <c r="Q6" s="1" t="n">
        <v>0.0201</v>
      </c>
      <c r="R6" s="63" t="s">
        <v>203</v>
      </c>
      <c r="S6" s="63" t="n">
        <v>0.81906</v>
      </c>
    </row>
    <row r="7" customFormat="false" ht="52.7" hidden="false" customHeight="true" outlineLevel="0" collapsed="false">
      <c r="A7" s="68" t="s">
        <v>204</v>
      </c>
      <c r="B7" s="68"/>
      <c r="C7" s="69" t="n">
        <f aca="false">P7*$S$2</f>
        <v>0.1414</v>
      </c>
      <c r="D7" s="69" t="n">
        <f aca="false">Q7*$S$2</f>
        <v>3.01</v>
      </c>
      <c r="E7" s="69" t="n">
        <f aca="false">(1-P7-Q7)*$S$2</f>
        <v>3.8486</v>
      </c>
      <c r="F7" s="70" t="n">
        <f aca="false">C7/$S$3</f>
        <v>0.149632796461301</v>
      </c>
      <c r="G7" s="70" t="n">
        <f aca="false">D7/$S$4</f>
        <v>3.67597669846</v>
      </c>
      <c r="H7" s="70" t="n">
        <f aca="false">E7/$S$7</f>
        <v>3.86529808773903</v>
      </c>
      <c r="I7" s="68"/>
      <c r="J7" s="68"/>
      <c r="K7" s="68"/>
      <c r="L7" s="68"/>
      <c r="O7" s="1" t="n">
        <v>0.94564</v>
      </c>
      <c r="P7" s="1" t="n">
        <v>0.0202</v>
      </c>
      <c r="Q7" s="1" t="n">
        <v>0.43</v>
      </c>
      <c r="R7" s="63" t="s">
        <v>205</v>
      </c>
      <c r="S7" s="63" t="n">
        <v>0.99568</v>
      </c>
    </row>
    <row r="8" customFormat="false" ht="52.7" hidden="false" customHeight="true" outlineLevel="0" collapsed="false">
      <c r="A8" s="68" t="s">
        <v>206</v>
      </c>
      <c r="B8" s="68"/>
      <c r="C8" s="69" t="n">
        <f aca="false">P8*$S$2</f>
        <v>1.8522</v>
      </c>
      <c r="D8" s="69" t="n">
        <f aca="false">Q8*$S$2</f>
        <v>1.4798</v>
      </c>
      <c r="E8" s="69" t="n">
        <f aca="false">(1-P8-Q8)*$S$2</f>
        <v>3.668</v>
      </c>
      <c r="F8" s="70" t="n">
        <f aca="false">C8/$S$3</f>
        <v>1.96004148235942</v>
      </c>
      <c r="G8" s="70" t="n">
        <f aca="false">D8/$S$4</f>
        <v>1.80721273035917</v>
      </c>
      <c r="H8" s="70" t="n">
        <f aca="false">E8/$S$7</f>
        <v>3.68391451068616</v>
      </c>
      <c r="I8" s="68"/>
      <c r="J8" s="68"/>
      <c r="K8" s="68"/>
      <c r="L8" s="68"/>
      <c r="P8" s="1" t="n">
        <v>0.2646</v>
      </c>
      <c r="Q8" s="1" t="n">
        <v>0.2114</v>
      </c>
    </row>
    <row r="9" customFormat="false" ht="52.7" hidden="false" customHeight="true" outlineLevel="0" collapsed="false">
      <c r="A9" s="68" t="s">
        <v>207</v>
      </c>
      <c r="B9" s="68"/>
      <c r="C9" s="69" t="n">
        <f aca="false">P9*$S$2</f>
        <v>2.6138</v>
      </c>
      <c r="D9" s="69" t="n">
        <f aca="false">Q9*$S$2</f>
        <v>0.7896</v>
      </c>
      <c r="E9" s="69" t="n">
        <f aca="false">(1-P9-Q9)*$S$2</f>
        <v>3.5966</v>
      </c>
      <c r="F9" s="70" t="n">
        <f aca="false">C9/$S$3</f>
        <v>2.76598446527969</v>
      </c>
      <c r="G9" s="70" t="n">
        <f aca="false">D9/$S$4</f>
        <v>0.964302724619274</v>
      </c>
      <c r="H9" s="70" t="n">
        <f aca="false">E9/$S$7</f>
        <v>3.61220472440945</v>
      </c>
      <c r="I9" s="68"/>
      <c r="J9" s="68"/>
      <c r="K9" s="68"/>
      <c r="L9" s="68"/>
      <c r="P9" s="1" t="n">
        <v>0.3734</v>
      </c>
      <c r="Q9" s="1" t="n">
        <v>0.1128</v>
      </c>
    </row>
    <row r="10" customFormat="false" ht="52.7" hidden="false" customHeight="true" outlineLevel="0" collapsed="false">
      <c r="A10" s="68" t="s">
        <v>208</v>
      </c>
      <c r="B10" s="68"/>
      <c r="C10" s="69" t="n">
        <f aca="false">P10*$S$2</f>
        <v>1.0388</v>
      </c>
      <c r="D10" s="69" t="n">
        <f aca="false">Q10*$S$2</f>
        <v>2.2113</v>
      </c>
      <c r="E10" s="69" t="n">
        <f aca="false">(1-P10-Q10)*$S$2</f>
        <v>3.7499</v>
      </c>
      <c r="F10" s="70" t="n">
        <f aca="false">C10/$S$3</f>
        <v>1.09928252449787</v>
      </c>
      <c r="G10" s="70" t="n">
        <f aca="false">D10/$S$4</f>
        <v>2.70056055591515</v>
      </c>
      <c r="H10" s="70" t="n">
        <f aca="false">E10/$S$7</f>
        <v>3.76616985376828</v>
      </c>
      <c r="I10" s="68"/>
      <c r="J10" s="68"/>
      <c r="K10" s="68"/>
      <c r="L10" s="68"/>
      <c r="P10" s="1" t="n">
        <v>0.1484</v>
      </c>
      <c r="Q10" s="1" t="n">
        <v>0.3159</v>
      </c>
    </row>
    <row r="11" customFormat="false" ht="52.7" hidden="false" customHeight="true" outlineLevel="0" collapsed="false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P11" s="1" t="n">
        <v>0.0204</v>
      </c>
      <c r="Q11" s="1" t="n">
        <v>0.4357</v>
      </c>
    </row>
    <row r="12" customFormat="false" ht="52.7" hidden="false" customHeight="true" outlineLevel="0" collapsed="false">
      <c r="A12" s="68" t="s">
        <v>209</v>
      </c>
      <c r="B12" s="66" t="s">
        <v>117</v>
      </c>
      <c r="C12" s="69" t="n">
        <f aca="false">P11*$S$2</f>
        <v>0.1428</v>
      </c>
      <c r="D12" s="69" t="n">
        <f aca="false">Q11*$S$2</f>
        <v>3.0499</v>
      </c>
      <c r="E12" s="69" t="n">
        <f aca="false">(1-P11-Q11)*$S$2</f>
        <v>3.8073</v>
      </c>
      <c r="F12" s="71" t="n">
        <f aca="false">C12/$S$3</f>
        <v>0.151114309297551</v>
      </c>
      <c r="G12" s="71" t="n">
        <f aca="false">D12/$S$5</f>
        <v>3.80557253908638</v>
      </c>
      <c r="H12" s="71" t="n">
        <f aca="false">E12/$S$7</f>
        <v>3.8238188976378</v>
      </c>
      <c r="I12" s="68"/>
      <c r="J12" s="68"/>
      <c r="K12" s="68"/>
      <c r="L12" s="68"/>
      <c r="P12" s="1" t="n">
        <v>0.4748</v>
      </c>
      <c r="Q12" s="1" t="n">
        <v>0.0201</v>
      </c>
    </row>
    <row r="13" customFormat="false" ht="52.7" hidden="false" customHeight="true" outlineLevel="0" collapsed="false">
      <c r="A13" s="68" t="s">
        <v>210</v>
      </c>
      <c r="B13" s="68"/>
      <c r="C13" s="69" t="n">
        <f aca="false">P12*$S$2</f>
        <v>3.3236</v>
      </c>
      <c r="D13" s="69" t="n">
        <f aca="false">Q12*$S$2</f>
        <v>0.1407</v>
      </c>
      <c r="E13" s="69" t="n">
        <f aca="false">(1-P12-Q12)*$S$2</f>
        <v>3.5357</v>
      </c>
      <c r="F13" s="71" t="n">
        <f aca="false">C13/$S$3</f>
        <v>3.51711147325869</v>
      </c>
      <c r="G13" s="71" t="n">
        <f aca="false">D13/$S$5</f>
        <v>0.175561184382916</v>
      </c>
      <c r="H13" s="71" t="n">
        <f aca="false">E13/$S$7</f>
        <v>3.55104049493813</v>
      </c>
      <c r="I13" s="68"/>
      <c r="J13" s="68"/>
      <c r="K13" s="68"/>
      <c r="L13" s="68"/>
      <c r="P13" s="1" t="n">
        <v>0.2605</v>
      </c>
      <c r="Q13" s="1" t="n">
        <v>0.2155</v>
      </c>
    </row>
    <row r="14" customFormat="false" ht="52.7" hidden="false" customHeight="true" outlineLevel="0" collapsed="false">
      <c r="A14" s="68" t="s">
        <v>211</v>
      </c>
      <c r="B14" s="68"/>
      <c r="C14" s="69" t="n">
        <f aca="false">P13*$S$2</f>
        <v>1.8235</v>
      </c>
      <c r="D14" s="69" t="n">
        <f aca="false">Q13*$S$2</f>
        <v>1.5085</v>
      </c>
      <c r="E14" s="69" t="n">
        <f aca="false">(1-P13-Q13)*$S$2</f>
        <v>3.668</v>
      </c>
      <c r="F14" s="71" t="n">
        <f aca="false">C14/$S$3</f>
        <v>1.92967046921628</v>
      </c>
      <c r="G14" s="71" t="n">
        <f aca="false">D14/$S$5</f>
        <v>1.88226045942877</v>
      </c>
      <c r="H14" s="71" t="n">
        <f aca="false">E14/$S$7</f>
        <v>3.68391451068616</v>
      </c>
      <c r="I14" s="68"/>
      <c r="J14" s="68"/>
      <c r="K14" s="68"/>
      <c r="L14" s="68"/>
      <c r="P14" s="1" t="n">
        <v>0.1443</v>
      </c>
      <c r="Q14" s="1" t="n">
        <v>0.322</v>
      </c>
    </row>
    <row r="15" customFormat="false" ht="52.7" hidden="false" customHeight="true" outlineLevel="0" collapsed="false">
      <c r="A15" s="68" t="s">
        <v>212</v>
      </c>
      <c r="B15" s="68"/>
      <c r="C15" s="69" t="n">
        <f aca="false">P14*$S$2</f>
        <v>1.0101</v>
      </c>
      <c r="D15" s="69" t="n">
        <f aca="false">Q14*$S$2</f>
        <v>2.254</v>
      </c>
      <c r="E15" s="69" t="n">
        <f aca="false">(1-P14-Q14)*$S$2</f>
        <v>3.7359</v>
      </c>
      <c r="F15" s="71" t="n">
        <f aca="false">C15/$S$3</f>
        <v>1.06891151135474</v>
      </c>
      <c r="G15" s="71" t="n">
        <f aca="false">D15/$S$5</f>
        <v>2.81247270503974</v>
      </c>
      <c r="H15" s="71" t="n">
        <f aca="false">E15/$S$7</f>
        <v>3.75210911136108</v>
      </c>
      <c r="I15" s="68"/>
      <c r="J15" s="68"/>
      <c r="K15" s="68"/>
      <c r="L15" s="68"/>
      <c r="P15" s="1" t="n">
        <v>0.3711</v>
      </c>
      <c r="Q15" s="1" t="n">
        <v>0.1145</v>
      </c>
    </row>
    <row r="16" customFormat="false" ht="52.7" hidden="false" customHeight="true" outlineLevel="0" collapsed="false">
      <c r="A16" s="68" t="s">
        <v>213</v>
      </c>
      <c r="B16" s="68"/>
      <c r="C16" s="69" t="n">
        <f aca="false">P15*$S$2</f>
        <v>2.5977</v>
      </c>
      <c r="D16" s="69" t="n">
        <f aca="false">Q15*$S$2</f>
        <v>0.8015</v>
      </c>
      <c r="E16" s="69" t="n">
        <f aca="false">(1-P15-Q15)*$S$2</f>
        <v>3.6008</v>
      </c>
      <c r="F16" s="71" t="n">
        <f aca="false">C16/$S$3</f>
        <v>2.74894706766281</v>
      </c>
      <c r="G16" s="71" t="n">
        <f aca="false">D16/$S$5</f>
        <v>1.00008734387283</v>
      </c>
      <c r="H16" s="71" t="n">
        <f aca="false">E16/$S$7</f>
        <v>3.61642294713161</v>
      </c>
      <c r="I16" s="68"/>
      <c r="J16" s="68"/>
      <c r="K16" s="68"/>
      <c r="L16" s="68"/>
      <c r="P16" s="1" t="n">
        <v>0.0201</v>
      </c>
      <c r="Q16" s="1" t="n">
        <v>0.4415</v>
      </c>
    </row>
    <row r="17" customFormat="false" ht="52.7" hidden="false" customHeight="true" outlineLevel="0" collapsed="false">
      <c r="A17" s="68"/>
      <c r="B17" s="68"/>
      <c r="C17" s="68"/>
      <c r="D17" s="68"/>
      <c r="E17" s="68"/>
      <c r="F17" s="71"/>
      <c r="G17" s="71"/>
      <c r="H17" s="71"/>
      <c r="I17" s="68"/>
      <c r="J17" s="68"/>
      <c r="K17" s="68"/>
      <c r="L17" s="68"/>
      <c r="P17" s="1" t="n">
        <v>0.4748</v>
      </c>
      <c r="Q17" s="1" t="n">
        <v>0.0204</v>
      </c>
    </row>
    <row r="18" customFormat="false" ht="52.7" hidden="false" customHeight="true" outlineLevel="0" collapsed="false">
      <c r="A18" s="68" t="s">
        <v>214</v>
      </c>
      <c r="B18" s="66" t="s">
        <v>125</v>
      </c>
      <c r="C18" s="69" t="n">
        <f aca="false">P16*$S$2</f>
        <v>0.1407</v>
      </c>
      <c r="D18" s="69" t="n">
        <f aca="false">Q16*$S$2</f>
        <v>3.0905</v>
      </c>
      <c r="E18" s="69" t="n">
        <f aca="false">(1-P16-Q16)*$S$2</f>
        <v>3.7688</v>
      </c>
      <c r="F18" s="71" t="n">
        <f aca="false">C18/$S$3</f>
        <v>0.148892040043176</v>
      </c>
      <c r="G18" s="71" t="n">
        <f aca="false">D18/$S$6</f>
        <v>3.77322784655581</v>
      </c>
      <c r="H18" s="71" t="n">
        <f aca="false">E18/$S$7</f>
        <v>3.785151856018</v>
      </c>
      <c r="I18" s="68"/>
      <c r="J18" s="68"/>
      <c r="K18" s="68"/>
      <c r="L18" s="68"/>
      <c r="P18" s="1" t="n">
        <v>0.2571</v>
      </c>
      <c r="Q18" s="1" t="n">
        <v>0.2218</v>
      </c>
    </row>
    <row r="19" customFormat="false" ht="52.7" hidden="false" customHeight="true" outlineLevel="0" collapsed="false">
      <c r="A19" s="68" t="s">
        <v>215</v>
      </c>
      <c r="B19" s="68"/>
      <c r="C19" s="69" t="n">
        <f aca="false">P17*$S$2</f>
        <v>3.3236</v>
      </c>
      <c r="D19" s="69" t="n">
        <f aca="false">Q17*$S$2</f>
        <v>0.1428</v>
      </c>
      <c r="E19" s="69" t="n">
        <f aca="false">(1-P17-Q17)*$S$2</f>
        <v>3.5336</v>
      </c>
      <c r="F19" s="71" t="n">
        <f aca="false">C19/$S$3</f>
        <v>3.51711147325869</v>
      </c>
      <c r="G19" s="71" t="n">
        <f aca="false">D19/$S$6</f>
        <v>0.174346201743462</v>
      </c>
      <c r="H19" s="71" t="n">
        <f aca="false">E19/$S$7</f>
        <v>3.54893138357705</v>
      </c>
      <c r="I19" s="68"/>
      <c r="J19" s="68"/>
      <c r="K19" s="68"/>
      <c r="L19" s="68"/>
      <c r="P19" s="1" t="n">
        <v>0.3682</v>
      </c>
      <c r="Q19" s="1" t="n">
        <v>0.119</v>
      </c>
    </row>
    <row r="20" customFormat="false" ht="52.7" hidden="false" customHeight="true" outlineLevel="0" collapsed="false">
      <c r="A20" s="68" t="s">
        <v>216</v>
      </c>
      <c r="B20" s="68"/>
      <c r="C20" s="69" t="n">
        <f aca="false">P18*$S$2</f>
        <v>1.7997</v>
      </c>
      <c r="D20" s="69" t="n">
        <f aca="false">Q18*$S$2</f>
        <v>1.5526</v>
      </c>
      <c r="E20" s="69" t="n">
        <f aca="false">(1-P18-Q18)*$S$2</f>
        <v>3.6477</v>
      </c>
      <c r="F20" s="71" t="n">
        <f aca="false">C20/$S$3</f>
        <v>1.90448475100002</v>
      </c>
      <c r="G20" s="71" t="n">
        <f aca="false">D20/$S$6</f>
        <v>1.89558762483823</v>
      </c>
      <c r="H20" s="71" t="n">
        <f aca="false">E20/$S$7</f>
        <v>3.66352643419573</v>
      </c>
      <c r="I20" s="68"/>
      <c r="J20" s="68"/>
      <c r="K20" s="68"/>
      <c r="L20" s="68"/>
      <c r="P20" s="1" t="n">
        <v>0.1411</v>
      </c>
      <c r="Q20" s="1" t="n">
        <v>0.3293</v>
      </c>
    </row>
    <row r="21" customFormat="false" ht="52.7" hidden="false" customHeight="true" outlineLevel="0" collapsed="false">
      <c r="A21" s="68" t="s">
        <v>217</v>
      </c>
      <c r="B21" s="68"/>
      <c r="C21" s="69" t="n">
        <f aca="false">P19*$S$2</f>
        <v>2.5774</v>
      </c>
      <c r="D21" s="69" t="n">
        <f aca="false">Q19*$S$2</f>
        <v>0.833</v>
      </c>
      <c r="E21" s="69" t="n">
        <f aca="false">(1-P19-Q19)*$S$2</f>
        <v>3.5896</v>
      </c>
      <c r="F21" s="71" t="n">
        <f aca="false">C21/$S$3</f>
        <v>2.72746513153718</v>
      </c>
      <c r="G21" s="71" t="n">
        <f aca="false">D21/$S$6</f>
        <v>1.0170195101702</v>
      </c>
      <c r="H21" s="71" t="n">
        <f aca="false">E21/$S$7</f>
        <v>3.60517435320585</v>
      </c>
      <c r="I21" s="68"/>
      <c r="J21" s="68"/>
      <c r="K21" s="68"/>
      <c r="L21" s="68"/>
    </row>
    <row r="22" customFormat="false" ht="52.7" hidden="false" customHeight="true" outlineLevel="0" collapsed="false">
      <c r="A22" s="68" t="s">
        <v>218</v>
      </c>
      <c r="B22" s="68"/>
      <c r="C22" s="69" t="n">
        <f aca="false">P20*$S$2</f>
        <v>0.9877</v>
      </c>
      <c r="D22" s="69" t="n">
        <f aca="false">Q20*$S$2</f>
        <v>2.3051</v>
      </c>
      <c r="E22" s="69" t="n">
        <f aca="false">(1-P20-Q20)*$S$2</f>
        <v>3.7072</v>
      </c>
      <c r="F22" s="71" t="n">
        <f aca="false">C22/$S$3</f>
        <v>1.04520730597473</v>
      </c>
      <c r="G22" s="71" t="n">
        <f aca="false">D22/$S$6</f>
        <v>2.81432373696677</v>
      </c>
      <c r="H22" s="71" t="n">
        <f aca="false">E22/$S$7</f>
        <v>3.72328458942632</v>
      </c>
      <c r="I22" s="68"/>
      <c r="J22" s="68"/>
      <c r="K22" s="68"/>
      <c r="L22" s="68"/>
    </row>
  </sheetData>
  <mergeCells count="5">
    <mergeCell ref="A1:L1"/>
    <mergeCell ref="A2:L2"/>
    <mergeCell ref="C3:E3"/>
    <mergeCell ref="F3:H3"/>
    <mergeCell ref="K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2025-11-17T19:03:08Z</dcterms:created>
  <dc:creator>Roberto Canales</dc:creator>
  <dc:description/>
  <dc:language>en-GB</dc:language>
  <cp:lastModifiedBy/>
  <dcterms:modified xsi:type="dcterms:W3CDTF">2026-04-06T22:33:29Z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0x010100994AF09D86BE3C498753070DF359B656</vt:lpwstr>
  </property>
</Properties>
</file>