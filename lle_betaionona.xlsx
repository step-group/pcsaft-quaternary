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edicciones_pcsaft" sheetId="1" state="visible" r:id="rId3"/>
    <sheet name="Componentes" sheetId="2" state="visible" r:id="rId4"/>
    <sheet name="Lab_Solventes" sheetId="3" state="visible" r:id="rId5"/>
    <sheet name="Sampling" sheetId="4" state="visible" r:id="rId6"/>
  </sheets>
  <definedNames>
    <definedName function="false" hidden="false" name="LookupTable" vbProcedure="false">Componentes!$AA$3:$AC$11</definedName>
    <definedName function="false" hidden="false" name="MW_2m2boh" vbProcedure="false">Componentes!$AB$7</definedName>
    <definedName function="false" hidden="false" name="MW_2m3b2oh" vbProcedure="false">Componentes!$AB$6</definedName>
    <definedName function="false" hidden="false" name="MW_2octanone" vbProcedure="false">Componentes!$AB$11</definedName>
    <definedName function="false" hidden="false" name="MW_2pe" vbProcedure="false">Componentes!$AB$4</definedName>
    <definedName function="false" hidden="false" name="MW_beta" vbProcedure="false">Componentes!$AB$3</definedName>
    <definedName function="false" hidden="false" name="MW_gamma" vbProcedure="false">Componentes!$AB$5</definedName>
    <definedName function="false" hidden="false" name="MW_hexoh" vbProcedure="false">Componentes!$AB$8</definedName>
    <definedName function="false" hidden="false" name="MW_mibk" vbProcedure="false">Componentes!$AB$10</definedName>
    <definedName function="false" hidden="false" name="MW_octoh" vbProcedure="false">Componentes!$AB$9</definedName>
    <definedName function="false" hidden="false" name="purity_2m2boh" vbProcedure="false">Componentes!$AC$7</definedName>
    <definedName function="false" hidden="false" name="purity_2m3b2oh" vbProcedure="false">Componentes!$AC$6</definedName>
    <definedName function="false" hidden="false" name="purity_2octanone" vbProcedure="false">Componentes!$AC$11</definedName>
    <definedName function="false" hidden="false" name="purity_2pe" vbProcedure="false">Componentes!$AC$4</definedName>
    <definedName function="false" hidden="false" name="purity_beta" vbProcedure="false">Componentes!$AC$3</definedName>
    <definedName function="false" hidden="false" name="purity_gamma" vbProcedure="false">Componentes!$AC$5</definedName>
    <definedName function="false" hidden="false" name="purity_hexoh" vbProcedure="false">Componentes!$AC$8</definedName>
    <definedName function="false" hidden="false" name="purity_mibk" vbProcedure="false">Componentes!$AC$10</definedName>
    <definedName function="false" hidden="false" name="purity_octoh" vbProcedure="false">Componentes!$AC$9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<sst xmlns="http://schemas.openxmlformats.org/spreadsheetml/2006/main" count="581" uniqueCount="316">
  <si>
    <t xml:space="preserve">Target mass (g):</t>
  </si>
  <si>
    <t xml:space="preserve">← change here to rescale all masses</t>
  </si>
  <si>
    <t xml:space="preserve">Aroma: β-ionone (trans)</t>
  </si>
  <si>
    <t xml:space="preserve">Yellow = paste z (mass fracs) from software  |  Green = auto-calculated masses</t>
  </si>
  <si>
    <t xml:space="preserve">Solvent</t>
  </si>
  <si>
    <t xml:space="preserve">TL#</t>
  </si>
  <si>
    <t xml:space="preserve">z_aroma</t>
  </si>
  <si>
    <t xml:space="preserve">z_solvent</t>
  </si>
  <si>
    <t xml:space="preserve">z_water</t>
  </si>
  <si>
    <t xml:space="preserve">Σz (check)</t>
  </si>
  <si>
    <t xml:space="preserve">m_aroma (g)</t>
  </si>
  <si>
    <t xml:space="preserve">m_solvent (g)</t>
  </si>
  <si>
    <t xml:space="preserve">m_water (g)</t>
  </si>
  <si>
    <t xml:space="preserve">m_total (g)</t>
  </si>
  <si>
    <t xml:space="preserve">hexoh</t>
  </si>
  <si>
    <t xml:space="preserve">mibk</t>
  </si>
  <si>
    <t xml:space="preserve">2octanone</t>
  </si>
  <si>
    <t xml:space="preserve">IDENTIFICADOR</t>
  </si>
  <si>
    <t xml:space="preserve">INVENTARIO</t>
  </si>
  <si>
    <t xml:space="preserve">PROPIEDADES</t>
  </si>
  <si>
    <t xml:space="preserve">SEGURIDAD</t>
  </si>
  <si>
    <t xml:space="preserve">METADATA</t>
  </si>
  <si>
    <t xml:space="preserve">ID</t>
  </si>
  <si>
    <t xml:space="preserve">Chemical Name</t>
  </si>
  <si>
    <t xml:space="preserve">Common Name(s)</t>
  </si>
  <si>
    <t xml:space="preserve">CAS Number</t>
  </si>
  <si>
    <t xml:space="preserve">Formula</t>
  </si>
  <si>
    <t xml:space="preserve">Canonical SMILES</t>
  </si>
  <si>
    <t xml:space="preserve">Location</t>
  </si>
  <si>
    <t xml:space="preserve">Supplier</t>
  </si>
  <si>
    <t xml:space="preserve">Grade/Purity</t>
  </si>
  <si>
    <t xml:space="preserve">Lot Number</t>
  </si>
  <si>
    <t xml:space="preserve">Quantity</t>
  </si>
  <si>
    <t xml:space="preserve">Unit</t>
  </si>
  <si>
    <t xml:space="preserve">MW</t>
  </si>
  <si>
    <t xml:space="preserve">Tb</t>
  </si>
  <si>
    <t xml:space="preserve">Tm</t>
  </si>
  <si>
    <t xml:space="preserve">ρ (25°C)</t>
  </si>
  <si>
    <t xml:space="preserve">η (25°C)</t>
  </si>
  <si>
    <t xml:space="preserve">Pᵛᵃᵖ (25°C)</t>
  </si>
  <si>
    <t xml:space="preserve">Flash Point</t>
  </si>
  <si>
    <t xml:space="preserve">Hazard Class</t>
  </si>
  <si>
    <t xml:space="preserve">Storage</t>
  </si>
  <si>
    <t xml:space="preserve">Date Received</t>
  </si>
  <si>
    <t xml:space="preserve">Status</t>
  </si>
  <si>
    <t xml:space="preserve">Notes</t>
  </si>
  <si>
    <t xml:space="preserve">comp_id</t>
  </si>
  <si>
    <t xml:space="preserve">purity</t>
  </si>
  <si>
    <t xml:space="preserve">Internal component code</t>
  </si>
  <si>
    <t xml:space="preserve">IUPAC or standard name</t>
  </si>
  <si>
    <t xml:space="preserve">Alternative names</t>
  </si>
  <si>
    <t xml:space="preserve">CAS registry number</t>
  </si>
  <si>
    <t xml:space="preserve">Molecular formula</t>
  </si>
  <si>
    <t xml:space="preserve">For modeling/databases</t>
  </si>
  <si>
    <t xml:space="preserve">Lab position (e.g., 3.1)</t>
  </si>
  <si>
    <t xml:space="preserve">Vendor name</t>
  </si>
  <si>
    <t xml:space="preserve">(Según batch)</t>
  </si>
  <si>
    <t xml:space="preserve">Batch identifier</t>
  </si>
  <si>
    <t xml:space="preserve">Amount available</t>
  </si>
  <si>
    <t xml:space="preserve">mL, g, kg, etc.</t>
  </si>
  <si>
    <t xml:space="preserve">g/mol</t>
  </si>
  <si>
    <t xml:space="preserve">°C (1 atm)</t>
  </si>
  <si>
    <t xml:space="preserve">°C</t>
  </si>
  <si>
    <t xml:space="preserve">g/cm³</t>
  </si>
  <si>
    <t xml:space="preserve">mPa·s</t>
  </si>
  <si>
    <t xml:space="preserve">kPa</t>
  </si>
  <si>
    <t xml:space="preserve">GHS classification</t>
  </si>
  <si>
    <t xml:space="preserve">Requirements</t>
  </si>
  <si>
    <t xml:space="preserve">YYYY-MM-DD</t>
  </si>
  <si>
    <t xml:space="preserve">Active/Depleted</t>
  </si>
  <si>
    <t xml:space="preserve">Additional info</t>
  </si>
  <si>
    <t xml:space="preserve">beta</t>
  </si>
  <si>
    <t xml:space="preserve">b-ionone (trans)</t>
  </si>
  <si>
    <t xml:space="preserve">-</t>
  </si>
  <si>
    <t xml:space="preserve">14901-07-6</t>
  </si>
  <si>
    <t xml:space="preserve">C13H20O</t>
  </si>
  <si>
    <t xml:space="preserve">CC1=C(C(CCC1)(C)C)/C=C/C(=O)C</t>
  </si>
  <si>
    <t xml:space="preserve">REFRIGERADOR</t>
  </si>
  <si>
    <t xml:space="preserve">Sigma-Aldrich</t>
  </si>
  <si>
    <t xml:space="preserve">97.8% (GC)</t>
  </si>
  <si>
    <t xml:space="preserve">SHBL2869</t>
  </si>
  <si>
    <t xml:space="preserve">L</t>
  </si>
  <si>
    <t xml:space="preserve">Active</t>
  </si>
  <si>
    <t xml:space="preserve">2pe</t>
  </si>
  <si>
    <t xml:space="preserve">2-phenylethanol</t>
  </si>
  <si>
    <t xml:space="preserve">60-12-8</t>
  </si>
  <si>
    <t xml:space="preserve">C8H10O</t>
  </si>
  <si>
    <t xml:space="preserve">OCCc1ccccc1</t>
  </si>
  <si>
    <t xml:space="preserve">3.x</t>
  </si>
  <si>
    <t xml:space="preserve">&gt; 99.9% (GC)</t>
  </si>
  <si>
    <t xml:space="preserve">SDBB2371</t>
  </si>
  <si>
    <t xml:space="preserve">gamma</t>
  </si>
  <si>
    <t xml:space="preserve">g-decalactone</t>
  </si>
  <si>
    <t xml:space="preserve">706-14-9</t>
  </si>
  <si>
    <t xml:space="preserve">C10H18O2</t>
  </si>
  <si>
    <t xml:space="preserve">CCCCCCC1CCC(=O)O1</t>
  </si>
  <si>
    <t xml:space="preserve">98.7% (GC)</t>
  </si>
  <si>
    <t xml:space="preserve">SHBR4960</t>
  </si>
  <si>
    <t xml:space="preserve">2m3b2oh</t>
  </si>
  <si>
    <t xml:space="preserve">2-methyl-3-buten-2-ol</t>
  </si>
  <si>
    <t xml:space="preserve">2M3B2OH</t>
  </si>
  <si>
    <t xml:space="preserve">115-18-4</t>
  </si>
  <si>
    <t xml:space="preserve">C5H10O</t>
  </si>
  <si>
    <t xml:space="preserve">CC(C)(C=C)O</t>
  </si>
  <si>
    <t xml:space="preserve">Aldrich</t>
  </si>
  <si>
    <t xml:space="preserve">99.6% (GC)</t>
  </si>
  <si>
    <t xml:space="preserve">STBH5331</t>
  </si>
  <si>
    <t xml:space="preserve">2m2boh</t>
  </si>
  <si>
    <t xml:space="preserve">2-methyl-2-butanol</t>
  </si>
  <si>
    <t xml:space="preserve">tert-amyl alcohol</t>
  </si>
  <si>
    <t xml:space="preserve">75-85-4</t>
  </si>
  <si>
    <t xml:space="preserve">C5H12O</t>
  </si>
  <si>
    <t xml:space="preserve">CCC(C)(C)O</t>
  </si>
  <si>
    <t xml:space="preserve">&gt;99.9% (GC)</t>
  </si>
  <si>
    <t xml:space="preserve">SDBB4598</t>
  </si>
  <si>
    <t xml:space="preserve">1-hexanol</t>
  </si>
  <si>
    <t xml:space="preserve">111-27-3</t>
  </si>
  <si>
    <t xml:space="preserve">C6H18O</t>
  </si>
  <si>
    <t xml:space="preserve">CCCCCCO</t>
  </si>
  <si>
    <t xml:space="preserve">1.3.</t>
  </si>
  <si>
    <t xml:space="preserve">99.8% (GC)</t>
  </si>
  <si>
    <t xml:space="preserve">SHBC9189V</t>
  </si>
  <si>
    <t xml:space="preserve">mL</t>
  </si>
  <si>
    <t xml:space="preserve">octoh</t>
  </si>
  <si>
    <t xml:space="preserve">1-octanol</t>
  </si>
  <si>
    <t xml:space="preserve">111-87-5</t>
  </si>
  <si>
    <t xml:space="preserve">C8H18O</t>
  </si>
  <si>
    <t xml:space="preserve">CCCCCCCCO</t>
  </si>
  <si>
    <t xml:space="preserve">99.7% (GC)</t>
  </si>
  <si>
    <t xml:space="preserve">SDBB1117</t>
  </si>
  <si>
    <t xml:space="preserve">200?</t>
  </si>
  <si>
    <t xml:space="preserve">methyl isobutyl ketone</t>
  </si>
  <si>
    <t xml:space="preserve">MIBK</t>
  </si>
  <si>
    <t xml:space="preserve">108-10-1</t>
  </si>
  <si>
    <t xml:space="preserve">C6H12O</t>
  </si>
  <si>
    <t xml:space="preserve">CC(C)CC(=O)C</t>
  </si>
  <si>
    <t xml:space="preserve">Merck Millipor</t>
  </si>
  <si>
    <t xml:space="preserve">K51239346927</t>
  </si>
  <si>
    <t xml:space="preserve">300?</t>
  </si>
  <si>
    <t xml:space="preserve">2-octanone</t>
  </si>
  <si>
    <t xml:space="preserve">Hexyl methyl ketone</t>
  </si>
  <si>
    <t xml:space="preserve">111-13-7</t>
  </si>
  <si>
    <t xml:space="preserve">C8H16O</t>
  </si>
  <si>
    <t xml:space="preserve">CCCCCCC(=O)C</t>
  </si>
  <si>
    <t xml:space="preserve">98.8% (GC)</t>
  </si>
  <si>
    <t xml:space="preserve">SHBQ4121</t>
  </si>
  <si>
    <t xml:space="preserve">thymol</t>
  </si>
  <si>
    <t xml:space="preserve">Thymol</t>
  </si>
  <si>
    <t xml:space="preserve">89-83-8</t>
  </si>
  <si>
    <t xml:space="preserve">C10H14O</t>
  </si>
  <si>
    <t xml:space="preserve">Cc1ccc(C(C)C)c(O)c1</t>
  </si>
  <si>
    <t xml:space="preserve">SHBQ5769</t>
  </si>
  <si>
    <t xml:space="preserve">g</t>
  </si>
  <si>
    <t xml:space="preserve">carvone</t>
  </si>
  <si>
    <t xml:space="preserve">L-Carvone</t>
  </si>
  <si>
    <t xml:space="preserve">(-)-Carvone</t>
  </si>
  <si>
    <t xml:space="preserve">6485-40-1</t>
  </si>
  <si>
    <t xml:space="preserve">C=C(C)[C@@H]1CC=C(C)C(=O)C1</t>
  </si>
  <si>
    <t xml:space="preserve">99.2% (GC)</t>
  </si>
  <si>
    <t xml:space="preserve">SHBQ8402</t>
  </si>
  <si>
    <t xml:space="preserve">kg</t>
  </si>
  <si>
    <t xml:space="preserve">camphor</t>
  </si>
  <si>
    <t xml:space="preserve">DL-Camphor</t>
  </si>
  <si>
    <t xml:space="preserve">76-22-2</t>
  </si>
  <si>
    <t xml:space="preserve">C10H16O</t>
  </si>
  <si>
    <t xml:space="preserve">CC1(C)C2CCC1(C)C(=O)C2</t>
  </si>
  <si>
    <t xml:space="preserve">96.9% (GC)</t>
  </si>
  <si>
    <t xml:space="preserve">SDBB0718</t>
  </si>
  <si>
    <t xml:space="preserve">geraniol</t>
  </si>
  <si>
    <t xml:space="preserve">Geraniol</t>
  </si>
  <si>
    <t xml:space="preserve">106-24-1</t>
  </si>
  <si>
    <t xml:space="preserve">C10H18O</t>
  </si>
  <si>
    <t xml:space="preserve">CC(C)=CCC/C(C)=C/CO</t>
  </si>
  <si>
    <t xml:space="preserve">98.9% (GC)</t>
  </si>
  <si>
    <t xml:space="preserve">SHBP7700</t>
  </si>
  <si>
    <t xml:space="preserve">carvacrol</t>
  </si>
  <si>
    <t xml:space="preserve">Carvacrol</t>
  </si>
  <si>
    <t xml:space="preserve">499-75-2</t>
  </si>
  <si>
    <t xml:space="preserve">Cc1ccc(C(C)C)cc1O</t>
  </si>
  <si>
    <t xml:space="preserve">SHBQ9085</t>
  </si>
  <si>
    <t xml:space="preserve">400?</t>
  </si>
  <si>
    <t xml:space="preserve">eugenol</t>
  </si>
  <si>
    <t xml:space="preserve">Eugenol</t>
  </si>
  <si>
    <t xml:space="preserve">97-53-0</t>
  </si>
  <si>
    <t xml:space="preserve">C10H12O2</t>
  </si>
  <si>
    <t xml:space="preserve">C=CCc1ccc(O)c(OC)c1</t>
  </si>
  <si>
    <t xml:space="preserve">SHBM4053</t>
  </si>
  <si>
    <t xml:space="preserve">500?</t>
  </si>
  <si>
    <t xml:space="preserve">h2o</t>
  </si>
  <si>
    <t xml:space="preserve">Water</t>
  </si>
  <si>
    <t xml:space="preserve">HPLC</t>
  </si>
  <si>
    <t xml:space="preserve">Aroma (soluto)</t>
  </si>
  <si>
    <t xml:space="preserve">Solventes</t>
  </si>
  <si>
    <t xml:space="preserve">DESs</t>
  </si>
  <si>
    <t xml:space="preserve">Agua (diluyente)</t>
  </si>
  <si>
    <t xml:space="preserve">LAB SHEET — β-ionone (trans) + Solvent + Water</t>
  </si>
  <si>
    <t xml:space="preserve">Add in order: tube → water → aroma → solvent. Record cumulative balance reading after each addition.</t>
  </si>
  <si>
    <t xml:space="preserve">ρ_aroma (g/mL):</t>
  </si>
  <si>
    <t xml:space="preserve">β-ionone</t>
  </si>
  <si>
    <t xml:space="preserve">ρ_water (g/mL):</t>
  </si>
  <si>
    <t xml:space="preserve">Pipetting guide (from predictions)</t>
  </si>
  <si>
    <t xml:space="preserve">Record on balance</t>
  </si>
  <si>
    <t xml:space="preserve">Auto-calculated by difference</t>
  </si>
  <si>
    <t xml:space="preserve">#</t>
  </si>
  <si>
    <t xml:space="preserve">V_water
est (mL)</t>
  </si>
  <si>
    <t xml:space="preserve">V_aroma
est (mL)</t>
  </si>
  <si>
    <t xml:space="preserve">V_solv
est (mL)</t>
  </si>
  <si>
    <t xml:space="preserve">W_tube
(g)</t>
  </si>
  <si>
    <t xml:space="preserve">W +water
(g)</t>
  </si>
  <si>
    <t xml:space="preserve">W +aroma
(g)</t>
  </si>
  <si>
    <t xml:space="preserve">W +solv
(g)</t>
  </si>
  <si>
    <t xml:space="preserve">m_water
(g)</t>
  </si>
  <si>
    <t xml:space="preserve">m_aroma
(g)</t>
  </si>
  <si>
    <t xml:space="preserve">m_solvent
(g)</t>
  </si>
  <si>
    <t xml:space="preserve">m_total
(g)</t>
  </si>
  <si>
    <t xml:space="preserve">w_water</t>
  </si>
  <si>
    <t xml:space="preserve">w_aroma</t>
  </si>
  <si>
    <t xml:space="preserve">w_solvent</t>
  </si>
  <si>
    <t xml:space="preserve">BH1</t>
  </si>
  <si>
    <t xml:space="preserve">BH2</t>
  </si>
  <si>
    <t xml:space="preserve">BH3</t>
  </si>
  <si>
    <t xml:space="preserve">BH4</t>
  </si>
  <si>
    <t xml:space="preserve">BH5</t>
  </si>
  <si>
    <t xml:space="preserve">BM1</t>
  </si>
  <si>
    <t xml:space="preserve">BM2</t>
  </si>
  <si>
    <t xml:space="preserve">BM3</t>
  </si>
  <si>
    <t xml:space="preserve">BM4</t>
  </si>
  <si>
    <t xml:space="preserve">BM5</t>
  </si>
  <si>
    <t xml:space="preserve">BO1</t>
  </si>
  <si>
    <t xml:space="preserve">BO2</t>
  </si>
  <si>
    <t xml:space="preserve">BO3</t>
  </si>
  <si>
    <t xml:space="preserve">BO4</t>
  </si>
  <si>
    <t xml:space="preserve">BO5</t>
  </si>
  <si>
    <t xml:space="preserve">H — 1-hexanol</t>
  </si>
  <si>
    <t xml:space="preserve">V_sample:</t>
  </si>
  <si>
    <t xml:space="preserve">µL</t>
  </si>
  <si>
    <t xml:space="preserve">+800 µL IPA</t>
  </si>
  <si>
    <t xml:space="preserve">β-ionone + 1-hexanol + Water  |  Dilution: 200 µL sample + 800 µL IPA</t>
  </si>
  <si>
    <t xml:space="preserve">■ KF routine</t>
  </si>
  <si>
    <t xml:space="preserve">□ KF if fishy</t>
  </si>
  <si>
    <t xml:space="preserve">System</t>
  </si>
  <si>
    <t xml:space="preserve">Phase</t>
  </si>
  <si>
    <t xml:space="preserve">Rep</t>
  </si>
  <si>
    <t xml:space="preserve">GC Vial ID</t>
  </si>
  <si>
    <t xml:space="preserve">W_vial
(g)</t>
  </si>
  <si>
    <t xml:space="preserve">W +sample
(g)</t>
  </si>
  <si>
    <t xml:space="preserve">W +solvent
(g)</t>
  </si>
  <si>
    <t xml:space="preserve">m_sample
(g)</t>
  </si>
  <si>
    <t xml:space="preserve">DF</t>
  </si>
  <si>
    <t xml:space="preserve">KF w_water
(%)</t>
  </si>
  <si>
    <t xml:space="preserve">Top</t>
  </si>
  <si>
    <t xml:space="preserve">H1-T1</t>
  </si>
  <si>
    <t xml:space="preserve">H1-T2</t>
  </si>
  <si>
    <t xml:space="preserve">Bot</t>
  </si>
  <si>
    <t xml:space="preserve">H1-B1</t>
  </si>
  <si>
    <t xml:space="preserve">H1-B2</t>
  </si>
  <si>
    <t xml:space="preserve">H2-T1</t>
  </si>
  <si>
    <t xml:space="preserve">H2-T2</t>
  </si>
  <si>
    <t xml:space="preserve">H2-B1</t>
  </si>
  <si>
    <t xml:space="preserve">H2-B2</t>
  </si>
  <si>
    <t xml:space="preserve">H3-T1</t>
  </si>
  <si>
    <t xml:space="preserve">H3-T2</t>
  </si>
  <si>
    <t xml:space="preserve">H3-B1</t>
  </si>
  <si>
    <t xml:space="preserve">H3-B2</t>
  </si>
  <si>
    <t xml:space="preserve">H4-T1</t>
  </si>
  <si>
    <t xml:space="preserve">H4-T2</t>
  </si>
  <si>
    <t xml:space="preserve">H4-B1</t>
  </si>
  <si>
    <t xml:space="preserve">H4-B2</t>
  </si>
  <si>
    <t xml:space="preserve">H5-T1</t>
  </si>
  <si>
    <t xml:space="preserve">H5-T2</t>
  </si>
  <si>
    <t xml:space="preserve">H5-B1</t>
  </si>
  <si>
    <t xml:space="preserve">H5-B2</t>
  </si>
  <si>
    <t xml:space="preserve">M — MIBK</t>
  </si>
  <si>
    <t xml:space="preserve">β-ionone + MIBK + Water  |  Dilution: 200 µL sample + 800 µL IPA</t>
  </si>
  <si>
    <t xml:space="preserve">M1-T1</t>
  </si>
  <si>
    <t xml:space="preserve">M1-T2</t>
  </si>
  <si>
    <t xml:space="preserve">M1-B1</t>
  </si>
  <si>
    <t xml:space="preserve">M1-B2</t>
  </si>
  <si>
    <t xml:space="preserve">M2-T1</t>
  </si>
  <si>
    <t xml:space="preserve">M2-T2</t>
  </si>
  <si>
    <t xml:space="preserve">M2-B1</t>
  </si>
  <si>
    <t xml:space="preserve">M2-B2</t>
  </si>
  <si>
    <t xml:space="preserve">M3-T1</t>
  </si>
  <si>
    <t xml:space="preserve">M3-T2</t>
  </si>
  <si>
    <t xml:space="preserve">M3-B1</t>
  </si>
  <si>
    <t xml:space="preserve">M3-B2</t>
  </si>
  <si>
    <t xml:space="preserve">M4-T1</t>
  </si>
  <si>
    <t xml:space="preserve">M4-T2</t>
  </si>
  <si>
    <t xml:space="preserve">M4-B1</t>
  </si>
  <si>
    <t xml:space="preserve">M4-B2</t>
  </si>
  <si>
    <t xml:space="preserve">M5-T1</t>
  </si>
  <si>
    <t xml:space="preserve">M5-T2</t>
  </si>
  <si>
    <t xml:space="preserve">M5-B1</t>
  </si>
  <si>
    <t xml:space="preserve">M5-B2</t>
  </si>
  <si>
    <t xml:space="preserve">O — 2-octanone</t>
  </si>
  <si>
    <t xml:space="preserve">β-ionone + 2-octanone + Water  |  Dilution: 200 µL sample + 800 µL IPA</t>
  </si>
  <si>
    <t xml:space="preserve">O1-T1</t>
  </si>
  <si>
    <t xml:space="preserve">O1-T2</t>
  </si>
  <si>
    <t xml:space="preserve">O1-B1</t>
  </si>
  <si>
    <t xml:space="preserve">O1-B2</t>
  </si>
  <si>
    <t xml:space="preserve">O2-T1</t>
  </si>
  <si>
    <t xml:space="preserve">O2-T2</t>
  </si>
  <si>
    <t xml:space="preserve">O2-B1</t>
  </si>
  <si>
    <t xml:space="preserve">O2-B2</t>
  </si>
  <si>
    <t xml:space="preserve">O3-T1</t>
  </si>
  <si>
    <t xml:space="preserve">O3-T2</t>
  </si>
  <si>
    <t xml:space="preserve">O3-B1</t>
  </si>
  <si>
    <t xml:space="preserve">O3-B2</t>
  </si>
  <si>
    <t xml:space="preserve">O4-T1</t>
  </si>
  <si>
    <t xml:space="preserve">O4-T2</t>
  </si>
  <si>
    <t xml:space="preserve">O4-B1</t>
  </si>
  <si>
    <t xml:space="preserve">O4-B2</t>
  </si>
  <si>
    <t xml:space="preserve">O5-T1</t>
  </si>
  <si>
    <t xml:space="preserve">O5-T2</t>
  </si>
  <si>
    <t xml:space="preserve">O5-B1</t>
  </si>
  <si>
    <t xml:space="preserve">O5-B2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</si>
</sst>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000"/>
    <numFmt numFmtId="167" formatCode="0.000"/>
    <numFmt numFmtId="168" formatCode="0.00%"/>
    <numFmt numFmtId="169" formatCode="0%"/>
    <numFmt numFmtId="170" formatCode="0.00000"/>
    <numFmt numFmtId="171" formatCode="0.00"/>
  </numFmts>
  <fonts count="38">
    <font>
      <sz val="11"/>
      <color rgb="FF000000"/>
      <name val="Aptos Narrow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 Narrow2"/>
      <family val="0"/>
      <charset val="1"/>
    </font>
    <font>
      <b val="true"/>
      <sz val="11"/>
      <color rgb="FF000000"/>
      <name val="Aptos Narrow2"/>
      <family val="0"/>
      <charset val="1"/>
    </font>
    <font>
      <sz val="10"/>
      <color rgb="FF000000"/>
      <name val="Arial"/>
      <family val="0"/>
      <charset val="1"/>
    </font>
    <font>
      <i val="true"/>
      <sz val="11"/>
      <color rgb="FF808080"/>
      <name val="Aptos Narrow2"/>
      <family val="0"/>
      <charset val="1"/>
    </font>
    <font>
      <b val="true"/>
      <sz val="24"/>
      <color rgb="FF000000"/>
      <name val="Aptos Narrow2"/>
      <family val="0"/>
      <charset val="1"/>
    </font>
    <font>
      <u val="single"/>
      <sz val="11"/>
      <color rgb="FF0000EE"/>
      <name val="Aptos Narrow2"/>
      <family val="0"/>
      <charset val="1"/>
    </font>
    <font>
      <b val="true"/>
      <i val="true"/>
      <u val="single"/>
      <sz val="11"/>
      <color rgb="FF000000"/>
      <name val="Aptos Narrow2"/>
      <family val="0"/>
      <charset val="1"/>
    </font>
    <font>
      <sz val="11"/>
      <color rgb="FF000000"/>
      <name val="Calibri"/>
      <family val="0"/>
      <charset val="1"/>
    </font>
    <font>
      <sz val="11"/>
      <color rgb="FFCC0000"/>
      <name val="Aptos Narrow2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7"/>
      <color rgb="FF000000"/>
      <name val="Cambria"/>
      <family val="0"/>
      <charset val="1"/>
    </font>
    <font>
      <sz val="11"/>
      <color rgb="FF000000"/>
      <name val="Aptos Narrow1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Arial1"/>
      <family val="0"/>
      <charset val="1"/>
    </font>
    <font>
      <sz val="11"/>
      <color rgb="FF000000"/>
      <name val="Cambria"/>
      <family val="0"/>
      <charset val="1"/>
    </font>
    <font>
      <sz val="11"/>
      <color rgb="FF000000"/>
      <name val="Aptos Narrow"/>
      <family val="0"/>
      <charset val="1"/>
    </font>
    <font>
      <b val="true"/>
      <sz val="13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8"/>
      <color rgb="FF7030A0"/>
      <name val="Arial"/>
      <family val="0"/>
      <charset val="1"/>
    </font>
    <font>
      <sz val="8"/>
      <color rgb="FFA080C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Consolas"/>
      <family val="0"/>
      <charset val="1"/>
    </font>
    <font>
      <b val="true"/>
      <sz val="10"/>
      <color rgb="FF833C0B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66"/>
      </patternFill>
    </fill>
    <fill>
      <patternFill patternType="solid">
        <fgColor rgb="FFDDDDDD"/>
        <bgColor rgb="FFD9D9D9"/>
      </patternFill>
    </fill>
    <fill>
      <patternFill patternType="solid">
        <fgColor rgb="FFCC0000"/>
        <bgColor rgb="FFC00000"/>
      </patternFill>
    </fill>
    <fill>
      <patternFill patternType="solid">
        <fgColor rgb="FFDCE6F1"/>
        <bgColor rgb="FFD6E4F0"/>
      </patternFill>
    </fill>
    <fill>
      <patternFill patternType="solid">
        <fgColor rgb="FFD9E1F2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F2D0"/>
      </patternFill>
    </fill>
    <fill>
      <patternFill patternType="solid">
        <fgColor rgb="FFFFD966"/>
        <bgColor rgb="FFF4B084"/>
      </patternFill>
    </fill>
    <fill>
      <patternFill patternType="solid">
        <fgColor rgb="FFC5E0B4"/>
        <bgColor rgb="FFD1D1D1"/>
      </patternFill>
    </fill>
    <fill>
      <patternFill patternType="solid">
        <fgColor rgb="FFB4C7E7"/>
        <bgColor rgb="FFBDD7EE"/>
      </patternFill>
    </fill>
    <fill>
      <patternFill patternType="solid">
        <fgColor rgb="FFF4B084"/>
        <bgColor rgb="FFFFD966"/>
      </patternFill>
    </fill>
    <fill>
      <patternFill patternType="solid">
        <fgColor rgb="FFD9D9D9"/>
        <bgColor rgb="FFDDDDDD"/>
      </patternFill>
    </fill>
    <fill>
      <patternFill patternType="solid">
        <fgColor rgb="FF2F5496"/>
        <bgColor rgb="FF1F4E79"/>
      </patternFill>
    </fill>
    <fill>
      <patternFill patternType="solid">
        <fgColor rgb="FFF2CFEE"/>
        <bgColor rgb="FFE4DFEC"/>
      </patternFill>
    </fill>
    <fill>
      <patternFill patternType="solid">
        <fgColor rgb="FFC1E5F5"/>
        <bgColor rgb="FFBDD7EE"/>
      </patternFill>
    </fill>
    <fill>
      <patternFill patternType="solid">
        <fgColor theme="8" tint="0.5998"/>
        <bgColor rgb="FFC1E5F5"/>
      </patternFill>
    </fill>
    <fill>
      <patternFill patternType="solid">
        <fgColor rgb="FFD9F2D0"/>
        <bgColor rgb="FFE2EFDA"/>
      </patternFill>
    </fill>
    <fill>
      <patternFill patternType="solid">
        <fgColor rgb="FFD1D1D1"/>
        <bgColor rgb="FFD9D9D9"/>
      </patternFill>
    </fill>
    <fill>
      <patternFill patternType="solid">
        <fgColor rgb="FFDDEBF7"/>
        <bgColor rgb="FFDCE6F1"/>
      </patternFill>
    </fill>
    <fill>
      <patternFill patternType="solid">
        <fgColor rgb="FFFCE4D6"/>
        <bgColor rgb="FFF8E4D0"/>
      </patternFill>
    </fill>
    <fill>
      <patternFill patternType="solid">
        <fgColor rgb="FFD6E4F0"/>
        <bgColor rgb="FFD9E1F2"/>
      </patternFill>
    </fill>
    <fill>
      <patternFill patternType="solid">
        <fgColor rgb="FFF2F2F2"/>
        <bgColor rgb="FFF0EBF5"/>
      </patternFill>
    </fill>
    <fill>
      <patternFill patternType="solid">
        <fgColor rgb="FFE4DFEC"/>
        <bgColor rgb="FFDDDDDD"/>
      </patternFill>
    </fill>
    <fill>
      <patternFill patternType="solid">
        <fgColor rgb="FFF0EBF5"/>
        <bgColor rgb="FFF2F2F2"/>
      </patternFill>
    </fill>
    <fill>
      <patternFill patternType="solid">
        <fgColor rgb="FFF8E4D0"/>
        <bgColor rgb="FFFCE4D6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medium"/>
      <bottom style="thin">
        <color rgb="FFBFBFBF"/>
      </bottom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1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1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16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17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7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2" fillId="17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7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1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7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17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2" fillId="17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1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1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1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9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" fillId="19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19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9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" fillId="1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2" fillId="2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7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2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7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2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5" fillId="2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2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2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2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7" fillId="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2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2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2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7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2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2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Default 8" xfId="24"/>
    <cellStyle name="Error 9" xfId="25"/>
    <cellStyle name="Footnote 10" xfId="26"/>
    <cellStyle name="Heading 11" xfId="27"/>
    <cellStyle name="Hyperlink 12" xfId="28"/>
    <cellStyle name="Result 13" xfId="29"/>
    <cellStyle name="Status 14" xfId="30"/>
    <cellStyle name="Text 15" xfId="31"/>
    <cellStyle name="Warning 16" xfId="32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DCE6F1"/>
      <rgbColor rgb="FFC00000"/>
      <rgbColor rgb="FF008000"/>
      <rgbColor rgb="FF000080"/>
      <rgbColor rgb="FFE4DFEC"/>
      <rgbColor rgb="FF800080"/>
      <rgbColor rgb="FF008080"/>
      <rgbColor rgb="FFBFBFBF"/>
      <rgbColor rgb="FF808080"/>
      <rgbColor rgb="FFD9D9D9"/>
      <rgbColor rgb="FF7030A0"/>
      <rgbColor rgb="FFFFF2CC"/>
      <rgbColor rgb="FFDDEBF7"/>
      <rgbColor rgb="FF660066"/>
      <rgbColor rgb="FFF2CFEE"/>
      <rgbColor rgb="FF0066CC"/>
      <rgbColor rgb="FFBDD7EE"/>
      <rgbColor rgb="FF000080"/>
      <rgbColor rgb="FFFF00FF"/>
      <rgbColor rgb="FFE2EFDA"/>
      <rgbColor rgb="FFF2F2F2"/>
      <rgbColor rgb="FF800080"/>
      <rgbColor rgb="FF800000"/>
      <rgbColor rgb="FF008080"/>
      <rgbColor rgb="FF0000EE"/>
      <rgbColor rgb="FF00CCFF"/>
      <rgbColor rgb="FFC1E5F5"/>
      <rgbColor rgb="FFD9F2D0"/>
      <rgbColor rgb="FFF8E4D0"/>
      <rgbColor rgb="FFB4C7E7"/>
      <rgbColor rgb="FFF4B084"/>
      <rgbColor rgb="FFD1D1D1"/>
      <rgbColor rgb="FFFFD966"/>
      <rgbColor rgb="FF3366FF"/>
      <rgbColor rgb="FFD6E4F0"/>
      <rgbColor rgb="FFC5E0B4"/>
      <rgbColor rgb="FFFCE4D6"/>
      <rgbColor rgb="FFDDDDDD"/>
      <rgbColor rgb="FFF0EBF5"/>
      <rgbColor rgb="FF666666"/>
      <rgbColor rgb="FFA080C0"/>
      <rgbColor rgb="FF1F4E79"/>
      <rgbColor rgb="FFD9E1F2"/>
      <rgbColor rgb="FF003300"/>
      <rgbColor rgb="FF333300"/>
      <rgbColor rgb="FF833C0B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A18" activeCellId="0" sqref="A1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6" min="3" style="1" width="12"/>
    <col collapsed="false" customWidth="true" hidden="false" outlineLevel="0" max="10" min="7" style="1" width="14"/>
  </cols>
  <sheetData>
    <row r="1" customFormat="false" ht="15" hidden="false" customHeight="true" outlineLevel="0" collapsed="false">
      <c r="A1" s="2" t="s">
        <v>0</v>
      </c>
      <c r="B1" s="3" t="n">
        <v>7</v>
      </c>
      <c r="C1" s="4" t="s">
        <v>1</v>
      </c>
    </row>
    <row r="2" customFormat="false" ht="15" hidden="false" customHeight="true" outlineLevel="0" collapsed="false">
      <c r="A2" s="5" t="s">
        <v>2</v>
      </c>
    </row>
    <row r="3" customFormat="false" ht="15" hidden="false" customHeight="true" outlineLevel="0" collapsed="false">
      <c r="A3" s="4" t="s">
        <v>3</v>
      </c>
    </row>
    <row r="5" customFormat="false" ht="15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customFormat="false" ht="15" hidden="false" customHeight="true" outlineLevel="0" collapsed="false">
      <c r="A6" s="7"/>
      <c r="B6" s="8"/>
      <c r="C6" s="9"/>
      <c r="D6" s="9"/>
      <c r="E6" s="9"/>
      <c r="F6" s="10"/>
      <c r="G6" s="10"/>
      <c r="H6" s="10"/>
      <c r="I6" s="10"/>
      <c r="J6" s="10"/>
    </row>
    <row r="7" customFormat="false" ht="15" hidden="false" customHeight="true" outlineLevel="0" collapsed="false">
      <c r="A7" s="8"/>
      <c r="B7" s="8"/>
      <c r="C7" s="9"/>
      <c r="D7" s="9"/>
      <c r="E7" s="9"/>
      <c r="F7" s="10"/>
      <c r="G7" s="10"/>
      <c r="H7" s="10"/>
      <c r="I7" s="10"/>
      <c r="J7" s="10"/>
    </row>
    <row r="8" customFormat="false" ht="15" hidden="false" customHeight="true" outlineLevel="0" collapsed="false">
      <c r="A8" s="8"/>
      <c r="B8" s="8"/>
      <c r="C8" s="9"/>
      <c r="D8" s="9"/>
      <c r="E8" s="9"/>
      <c r="F8" s="10"/>
      <c r="G8" s="10"/>
      <c r="H8" s="10"/>
      <c r="I8" s="10"/>
      <c r="J8" s="10"/>
    </row>
    <row r="9" customFormat="false" ht="15" hidden="false" customHeight="true" outlineLevel="0" collapsed="false">
      <c r="A9" s="8"/>
      <c r="B9" s="8"/>
      <c r="C9" s="9"/>
      <c r="D9" s="9"/>
      <c r="E9" s="9"/>
      <c r="F9" s="10"/>
      <c r="G9" s="10"/>
      <c r="H9" s="10"/>
      <c r="I9" s="10"/>
      <c r="J9" s="10"/>
    </row>
    <row r="10" customFormat="false" ht="15" hidden="false" customHeight="true" outlineLevel="0" collapsed="false">
      <c r="A10" s="8"/>
      <c r="B10" s="8"/>
      <c r="C10" s="9"/>
      <c r="D10" s="9"/>
      <c r="E10" s="9"/>
      <c r="F10" s="10"/>
      <c r="G10" s="10"/>
      <c r="H10" s="10"/>
      <c r="I10" s="10"/>
      <c r="J10" s="10"/>
    </row>
    <row r="12" customFormat="false" ht="15" hidden="false" customHeight="true" outlineLevel="0" collapsed="false">
      <c r="A12" s="7"/>
      <c r="B12" s="8"/>
      <c r="C12" s="9"/>
      <c r="D12" s="9"/>
      <c r="E12" s="9"/>
      <c r="F12" s="10"/>
      <c r="G12" s="10"/>
      <c r="H12" s="10"/>
      <c r="I12" s="10"/>
      <c r="J12" s="10"/>
    </row>
    <row r="13" customFormat="false" ht="15" hidden="false" customHeight="true" outlineLevel="0" collapsed="false">
      <c r="A13" s="8"/>
      <c r="B13" s="8"/>
      <c r="C13" s="9"/>
      <c r="D13" s="9"/>
      <c r="E13" s="9"/>
      <c r="F13" s="10"/>
      <c r="G13" s="10"/>
      <c r="H13" s="10"/>
      <c r="I13" s="10"/>
      <c r="J13" s="10"/>
    </row>
    <row r="14" customFormat="false" ht="15" hidden="false" customHeight="true" outlineLevel="0" collapsed="false">
      <c r="A14" s="8"/>
      <c r="B14" s="8"/>
      <c r="C14" s="9"/>
      <c r="D14" s="9"/>
      <c r="E14" s="9"/>
      <c r="F14" s="10"/>
      <c r="G14" s="10"/>
      <c r="H14" s="10"/>
      <c r="I14" s="10"/>
      <c r="J14" s="10"/>
    </row>
    <row r="15" customFormat="false" ht="15" hidden="false" customHeight="true" outlineLevel="0" collapsed="false">
      <c r="A15" s="8"/>
      <c r="B15" s="8"/>
      <c r="C15" s="9"/>
      <c r="D15" s="9"/>
      <c r="E15" s="9"/>
      <c r="F15" s="10"/>
      <c r="G15" s="10"/>
      <c r="H15" s="10"/>
      <c r="I15" s="10"/>
      <c r="J15" s="10"/>
    </row>
    <row r="16" customFormat="false" ht="15" hidden="false" customHeight="true" outlineLevel="0" collapsed="false">
      <c r="A16" s="8"/>
      <c r="B16" s="8"/>
      <c r="C16" s="9"/>
      <c r="D16" s="9"/>
      <c r="E16" s="9"/>
      <c r="F16" s="10"/>
      <c r="G16" s="10"/>
      <c r="H16" s="10"/>
      <c r="I16" s="10"/>
      <c r="J16" s="10"/>
    </row>
    <row r="18" customFormat="false" ht="15" hidden="false" customHeight="true" outlineLevel="0" collapsed="false">
      <c r="A18" s="7" t="s">
        <v>14</v>
      </c>
      <c r="B18" s="8" t="n">
        <v>1</v>
      </c>
      <c r="C18" s="9" t="n">
        <v>0.475</v>
      </c>
      <c r="D18" s="9" t="n">
        <v>0.0201</v>
      </c>
      <c r="E18" s="9" t="n">
        <v>0.5049</v>
      </c>
      <c r="F18" s="10" t="n">
        <f aca="false">IF(C18="","",C18+D18+E18)</f>
        <v>1</v>
      </c>
      <c r="G18" s="10" t="n">
        <f aca="false">IF(C18="","",C18*$B$1)</f>
        <v>3.325</v>
      </c>
      <c r="H18" s="10" t="n">
        <f aca="false">IF(D18="","",D18*$B$1)</f>
        <v>0.1407</v>
      </c>
      <c r="I18" s="10" t="n">
        <f aca="false">IF(E18="","",E18*$B$1)</f>
        <v>3.5343</v>
      </c>
      <c r="J18" s="10" t="n">
        <f aca="false">IF(G18="","",G18+H18+I18)</f>
        <v>7</v>
      </c>
    </row>
    <row r="19" customFormat="false" ht="15" hidden="false" customHeight="true" outlineLevel="0" collapsed="false">
      <c r="A19" s="8"/>
      <c r="B19" s="8" t="n">
        <v>2</v>
      </c>
      <c r="C19" s="9" t="n">
        <v>0.0202</v>
      </c>
      <c r="D19" s="9" t="n">
        <v>0.43</v>
      </c>
      <c r="E19" s="9" t="n">
        <v>0.5498</v>
      </c>
      <c r="F19" s="10" t="n">
        <f aca="false">IF(C19="","",C19+D19+E19)</f>
        <v>1</v>
      </c>
      <c r="G19" s="10" t="n">
        <f aca="false">IF(C19="","",C19*$B$1)</f>
        <v>0.1414</v>
      </c>
      <c r="H19" s="10" t="n">
        <f aca="false">IF(D19="","",D19*$B$1)</f>
        <v>3.01</v>
      </c>
      <c r="I19" s="10" t="n">
        <f aca="false">IF(E19="","",E19*$B$1)</f>
        <v>3.8486</v>
      </c>
      <c r="J19" s="10" t="n">
        <f aca="false">IF(G19="","",G19+H19+I19)</f>
        <v>7</v>
      </c>
    </row>
    <row r="20" customFormat="false" ht="15" hidden="false" customHeight="true" outlineLevel="0" collapsed="false">
      <c r="A20" s="8"/>
      <c r="B20" s="8" t="n">
        <v>3</v>
      </c>
      <c r="C20" s="9" t="n">
        <v>0.2646</v>
      </c>
      <c r="D20" s="9" t="n">
        <v>0.2114</v>
      </c>
      <c r="E20" s="9" t="n">
        <v>0.524</v>
      </c>
      <c r="F20" s="10" t="n">
        <f aca="false">IF(C20="","",C20+D20+E20)</f>
        <v>1</v>
      </c>
      <c r="G20" s="10" t="n">
        <f aca="false">IF(C20="","",C20*$B$1)</f>
        <v>1.8522</v>
      </c>
      <c r="H20" s="10" t="n">
        <f aca="false">IF(D20="","",D20*$B$1)</f>
        <v>1.4798</v>
      </c>
      <c r="I20" s="10" t="n">
        <f aca="false">IF(E20="","",E20*$B$1)</f>
        <v>3.668</v>
      </c>
      <c r="J20" s="10" t="n">
        <f aca="false">IF(G20="","",G20+H20+I20)</f>
        <v>7</v>
      </c>
    </row>
    <row r="21" customFormat="false" ht="15" hidden="false" customHeight="true" outlineLevel="0" collapsed="false">
      <c r="A21" s="8"/>
      <c r="B21" s="8" t="n">
        <v>4</v>
      </c>
      <c r="C21" s="9" t="n">
        <v>0.3734</v>
      </c>
      <c r="D21" s="9" t="n">
        <v>0.1128</v>
      </c>
      <c r="E21" s="9" t="n">
        <v>0.5138</v>
      </c>
      <c r="F21" s="10" t="n">
        <f aca="false">IF(C21="","",C21+D21+E21)</f>
        <v>1</v>
      </c>
      <c r="G21" s="10" t="n">
        <f aca="false">IF(C21="","",C21*$B$1)</f>
        <v>2.6138</v>
      </c>
      <c r="H21" s="10" t="n">
        <f aca="false">IF(D21="","",D21*$B$1)</f>
        <v>0.7896</v>
      </c>
      <c r="I21" s="10" t="n">
        <f aca="false">IF(E21="","",E21*$B$1)</f>
        <v>3.5966</v>
      </c>
      <c r="J21" s="10" t="n">
        <f aca="false">IF(G21="","",G21+H21+I21)</f>
        <v>7</v>
      </c>
    </row>
    <row r="22" customFormat="false" ht="15" hidden="false" customHeight="true" outlineLevel="0" collapsed="false">
      <c r="A22" s="8"/>
      <c r="B22" s="8" t="n">
        <v>5</v>
      </c>
      <c r="C22" s="9" t="n">
        <v>0.1484</v>
      </c>
      <c r="D22" s="9" t="n">
        <v>0.3159</v>
      </c>
      <c r="E22" s="9" t="n">
        <v>0.5357</v>
      </c>
      <c r="F22" s="10" t="n">
        <f aca="false">IF(C22="","",C22+D22+E22)</f>
        <v>1</v>
      </c>
      <c r="G22" s="10" t="n">
        <f aca="false">IF(C22="","",C22*$B$1)</f>
        <v>1.0388</v>
      </c>
      <c r="H22" s="10" t="n">
        <f aca="false">IF(D22="","",D22*$B$1)</f>
        <v>2.2113</v>
      </c>
      <c r="I22" s="10" t="n">
        <f aca="false">IF(E22="","",E22*$B$1)</f>
        <v>3.7499</v>
      </c>
      <c r="J22" s="10" t="n">
        <f aca="false">IF(G22="","",G22+H22+I22)</f>
        <v>7</v>
      </c>
    </row>
    <row r="24" customFormat="false" ht="15" hidden="false" customHeight="true" outlineLevel="0" collapsed="false">
      <c r="A24" s="7"/>
      <c r="B24" s="8" t="n">
        <v>1</v>
      </c>
      <c r="C24" s="9"/>
      <c r="D24" s="9"/>
      <c r="E24" s="9"/>
      <c r="F24" s="10" t="str">
        <f aca="false">IF(C24="","",C24+D24+E24)</f>
        <v/>
      </c>
      <c r="G24" s="10" t="str">
        <f aca="false">IF(C24="","",C24*$B$1)</f>
        <v/>
      </c>
      <c r="H24" s="10" t="str">
        <f aca="false">IF(D24="","",D24*$B$1)</f>
        <v/>
      </c>
      <c r="I24" s="10" t="str">
        <f aca="false">IF(E24="","",E24*$B$1)</f>
        <v/>
      </c>
      <c r="J24" s="10" t="str">
        <f aca="false">IF(G24="","",G24+H24+I24)</f>
        <v/>
      </c>
    </row>
    <row r="25" customFormat="false" ht="15" hidden="false" customHeight="true" outlineLevel="0" collapsed="false">
      <c r="A25" s="8"/>
      <c r="B25" s="8" t="n">
        <v>2</v>
      </c>
      <c r="C25" s="9"/>
      <c r="D25" s="9"/>
      <c r="E25" s="9"/>
      <c r="F25" s="10" t="str">
        <f aca="false">IF(C25="","",C25+D25+E25)</f>
        <v/>
      </c>
      <c r="G25" s="10" t="str">
        <f aca="false">IF(C25="","",C25*$B$1)</f>
        <v/>
      </c>
      <c r="H25" s="10" t="str">
        <f aca="false">IF(D25="","",D25*$B$1)</f>
        <v/>
      </c>
      <c r="I25" s="10" t="str">
        <f aca="false">IF(E25="","",E25*$B$1)</f>
        <v/>
      </c>
      <c r="J25" s="10" t="str">
        <f aca="false">IF(G25="","",G25+H25+I25)</f>
        <v/>
      </c>
    </row>
    <row r="26" customFormat="false" ht="15" hidden="false" customHeight="true" outlineLevel="0" collapsed="false">
      <c r="A26" s="8"/>
      <c r="B26" s="8" t="n">
        <v>3</v>
      </c>
      <c r="C26" s="9"/>
      <c r="D26" s="9"/>
      <c r="E26" s="9"/>
      <c r="F26" s="10" t="str">
        <f aca="false">IF(C26="","",C26+D26+E26)</f>
        <v/>
      </c>
      <c r="G26" s="10" t="str">
        <f aca="false">IF(C26="","",C26*$B$1)</f>
        <v/>
      </c>
      <c r="H26" s="10" t="str">
        <f aca="false">IF(D26="","",D26*$B$1)</f>
        <v/>
      </c>
      <c r="I26" s="10" t="str">
        <f aca="false">IF(E26="","",E26*$B$1)</f>
        <v/>
      </c>
      <c r="J26" s="10" t="str">
        <f aca="false">IF(G26="","",G26+H26+I26)</f>
        <v/>
      </c>
    </row>
    <row r="27" customFormat="false" ht="15" hidden="false" customHeight="true" outlineLevel="0" collapsed="false">
      <c r="A27" s="8"/>
      <c r="B27" s="8" t="n">
        <v>4</v>
      </c>
      <c r="C27" s="9"/>
      <c r="D27" s="9"/>
      <c r="E27" s="9"/>
      <c r="F27" s="10" t="str">
        <f aca="false">IF(C27="","",C27+D27+E27)</f>
        <v/>
      </c>
      <c r="G27" s="10" t="str">
        <f aca="false">IF(C27="","",C27*$B$1)</f>
        <v/>
      </c>
      <c r="H27" s="10" t="str">
        <f aca="false">IF(D27="","",D27*$B$1)</f>
        <v/>
      </c>
      <c r="I27" s="10" t="str">
        <f aca="false">IF(E27="","",E27*$B$1)</f>
        <v/>
      </c>
      <c r="J27" s="10" t="str">
        <f aca="false">IF(G27="","",G27+H27+I27)</f>
        <v/>
      </c>
    </row>
    <row r="28" customFormat="false" ht="15" hidden="false" customHeight="true" outlineLevel="0" collapsed="false">
      <c r="A28" s="8"/>
      <c r="B28" s="8" t="n">
        <v>5</v>
      </c>
      <c r="C28" s="9"/>
      <c r="D28" s="9"/>
      <c r="E28" s="9"/>
      <c r="F28" s="10" t="str">
        <f aca="false">IF(C28="","",C28+D28+E28)</f>
        <v/>
      </c>
      <c r="G28" s="10" t="str">
        <f aca="false">IF(C28="","",C28*$B$1)</f>
        <v/>
      </c>
      <c r="H28" s="10" t="str">
        <f aca="false">IF(D28="","",D28*$B$1)</f>
        <v/>
      </c>
      <c r="I28" s="10" t="str">
        <f aca="false">IF(E28="","",E28*$B$1)</f>
        <v/>
      </c>
      <c r="J28" s="10" t="str">
        <f aca="false">IF(G28="","",G28+H28+I28)</f>
        <v/>
      </c>
    </row>
    <row r="30" customFormat="false" ht="15" hidden="false" customHeight="true" outlineLevel="0" collapsed="false">
      <c r="A30" s="7" t="s">
        <v>15</v>
      </c>
      <c r="B30" s="8" t="n">
        <v>1</v>
      </c>
      <c r="C30" s="9" t="n">
        <v>0.0204</v>
      </c>
      <c r="D30" s="9" t="n">
        <v>0.4357</v>
      </c>
      <c r="E30" s="9" t="n">
        <v>0.5439</v>
      </c>
      <c r="F30" s="10" t="n">
        <f aca="false">IF(C30="","",C30+D30+E30)</f>
        <v>1</v>
      </c>
      <c r="G30" s="10" t="n">
        <f aca="false">IF(C30="","",C30*$B$1)</f>
        <v>0.1428</v>
      </c>
      <c r="H30" s="10" t="n">
        <f aca="false">IF(D30="","",D30*$B$1)</f>
        <v>3.0499</v>
      </c>
      <c r="I30" s="10" t="n">
        <f aca="false">IF(E30="","",E30*$B$1)</f>
        <v>3.8073</v>
      </c>
      <c r="J30" s="10" t="n">
        <f aca="false">IF(G30="","",G30+H30+I30)</f>
        <v>7</v>
      </c>
    </row>
    <row r="31" customFormat="false" ht="15" hidden="false" customHeight="true" outlineLevel="0" collapsed="false">
      <c r="A31" s="8"/>
      <c r="B31" s="8" t="n">
        <v>2</v>
      </c>
      <c r="C31" s="9" t="n">
        <v>0.4748</v>
      </c>
      <c r="D31" s="9" t="n">
        <v>0.0201</v>
      </c>
      <c r="E31" s="9" t="n">
        <v>0.5051</v>
      </c>
      <c r="F31" s="10" t="n">
        <f aca="false">IF(C31="","",C31+D31+E31)</f>
        <v>1</v>
      </c>
      <c r="G31" s="10" t="n">
        <f aca="false">IF(C31="","",C31*$B$1)</f>
        <v>3.3236</v>
      </c>
      <c r="H31" s="10" t="n">
        <f aca="false">IF(D31="","",D31*$B$1)</f>
        <v>0.1407</v>
      </c>
      <c r="I31" s="10" t="n">
        <f aca="false">IF(E31="","",E31*$B$1)</f>
        <v>3.5357</v>
      </c>
      <c r="J31" s="10" t="n">
        <f aca="false">IF(G31="","",G31+H31+I31)</f>
        <v>7</v>
      </c>
    </row>
    <row r="32" customFormat="false" ht="15" hidden="false" customHeight="true" outlineLevel="0" collapsed="false">
      <c r="A32" s="8"/>
      <c r="B32" s="8" t="n">
        <v>3</v>
      </c>
      <c r="C32" s="9" t="n">
        <v>0.2605</v>
      </c>
      <c r="D32" s="9" t="n">
        <v>0.2155</v>
      </c>
      <c r="E32" s="9" t="n">
        <v>0.5239</v>
      </c>
      <c r="F32" s="10" t="n">
        <f aca="false">IF(C32="","",C32+D32+E32)</f>
        <v>0.9999</v>
      </c>
      <c r="G32" s="10" t="n">
        <f aca="false">IF(C32="","",C32*$B$1)</f>
        <v>1.8235</v>
      </c>
      <c r="H32" s="10" t="n">
        <f aca="false">IF(D32="","",D32*$B$1)</f>
        <v>1.5085</v>
      </c>
      <c r="I32" s="10" t="n">
        <f aca="false">IF(E32="","",E32*$B$1)</f>
        <v>3.6673</v>
      </c>
      <c r="J32" s="10" t="n">
        <f aca="false">IF(G32="","",G32+H32+I32)</f>
        <v>6.9993</v>
      </c>
    </row>
    <row r="33" customFormat="false" ht="15" hidden="false" customHeight="true" outlineLevel="0" collapsed="false">
      <c r="A33" s="8"/>
      <c r="B33" s="8" t="n">
        <v>4</v>
      </c>
      <c r="C33" s="9" t="n">
        <v>0.1443</v>
      </c>
      <c r="D33" s="9" t="n">
        <v>0.322</v>
      </c>
      <c r="E33" s="9" t="n">
        <v>0.5337</v>
      </c>
      <c r="F33" s="10" t="n">
        <f aca="false">IF(C33="","",C33+D33+E33)</f>
        <v>1</v>
      </c>
      <c r="G33" s="10" t="n">
        <f aca="false">IF(C33="","",C33*$B$1)</f>
        <v>1.0101</v>
      </c>
      <c r="H33" s="10" t="n">
        <f aca="false">IF(D33="","",D33*$B$1)</f>
        <v>2.254</v>
      </c>
      <c r="I33" s="10" t="n">
        <f aca="false">IF(E33="","",E33*$B$1)</f>
        <v>3.7359</v>
      </c>
      <c r="J33" s="10" t="n">
        <f aca="false">IF(G33="","",G33+H33+I33)</f>
        <v>7</v>
      </c>
    </row>
    <row r="34" customFormat="false" ht="15" hidden="false" customHeight="true" outlineLevel="0" collapsed="false">
      <c r="A34" s="8"/>
      <c r="B34" s="8" t="n">
        <v>5</v>
      </c>
      <c r="C34" s="9" t="n">
        <v>0.3711</v>
      </c>
      <c r="D34" s="9" t="n">
        <v>0.1145</v>
      </c>
      <c r="E34" s="9" t="n">
        <v>0.5144</v>
      </c>
      <c r="F34" s="10" t="n">
        <f aca="false">IF(C34="","",C34+D34+E34)</f>
        <v>1</v>
      </c>
      <c r="G34" s="10" t="n">
        <f aca="false">IF(C34="","",C34*$B$1)</f>
        <v>2.5977</v>
      </c>
      <c r="H34" s="10" t="n">
        <f aca="false">IF(D34="","",D34*$B$1)</f>
        <v>0.8015</v>
      </c>
      <c r="I34" s="10" t="n">
        <f aca="false">IF(E34="","",E34*$B$1)</f>
        <v>3.6008</v>
      </c>
      <c r="J34" s="10" t="n">
        <f aca="false">IF(G34="","",G34+H34+I34)</f>
        <v>7</v>
      </c>
    </row>
    <row r="36" customFormat="false" ht="15" hidden="false" customHeight="true" outlineLevel="0" collapsed="false">
      <c r="A36" s="7" t="s">
        <v>16</v>
      </c>
      <c r="B36" s="8" t="n">
        <v>1</v>
      </c>
      <c r="C36" s="9" t="n">
        <v>0.0201</v>
      </c>
      <c r="D36" s="9" t="n">
        <v>0.4415</v>
      </c>
      <c r="E36" s="9" t="n">
        <v>0.5384</v>
      </c>
      <c r="F36" s="10" t="n">
        <f aca="false">IF(C36="","",C36+D36+E36)</f>
        <v>1</v>
      </c>
      <c r="G36" s="10" t="n">
        <f aca="false">IF(C36="","",C36*$B$1)</f>
        <v>0.1407</v>
      </c>
      <c r="H36" s="10" t="n">
        <f aca="false">IF(D36="","",D36*$B$1)</f>
        <v>3.0905</v>
      </c>
      <c r="I36" s="10" t="n">
        <f aca="false">IF(E36="","",E36*$B$1)</f>
        <v>3.7688</v>
      </c>
      <c r="J36" s="10" t="n">
        <f aca="false">IF(G36="","",G36+H36+I36)</f>
        <v>7</v>
      </c>
    </row>
    <row r="37" customFormat="false" ht="15" hidden="false" customHeight="true" outlineLevel="0" collapsed="false">
      <c r="A37" s="8"/>
      <c r="B37" s="8" t="n">
        <v>2</v>
      </c>
      <c r="C37" s="9" t="n">
        <v>0.4748</v>
      </c>
      <c r="D37" s="9" t="n">
        <v>0.0204</v>
      </c>
      <c r="E37" s="9" t="n">
        <v>0.5048</v>
      </c>
      <c r="F37" s="10" t="n">
        <f aca="false">IF(C37="","",C37+D37+E37)</f>
        <v>1</v>
      </c>
      <c r="G37" s="10" t="n">
        <f aca="false">IF(C37="","",C37*$B$1)</f>
        <v>3.3236</v>
      </c>
      <c r="H37" s="10" t="n">
        <f aca="false">IF(D37="","",D37*$B$1)</f>
        <v>0.1428</v>
      </c>
      <c r="I37" s="10" t="n">
        <f aca="false">IF(E37="","",E37*$B$1)</f>
        <v>3.5336</v>
      </c>
      <c r="J37" s="10" t="n">
        <f aca="false">IF(G37="","",G37+H37+I37)</f>
        <v>7</v>
      </c>
    </row>
    <row r="38" customFormat="false" ht="15" hidden="false" customHeight="true" outlineLevel="0" collapsed="false">
      <c r="A38" s="8"/>
      <c r="B38" s="8" t="n">
        <v>3</v>
      </c>
      <c r="C38" s="9" t="n">
        <v>0.2571</v>
      </c>
      <c r="D38" s="9" t="n">
        <v>0.2218</v>
      </c>
      <c r="E38" s="9" t="n">
        <v>0.521</v>
      </c>
      <c r="F38" s="10" t="n">
        <f aca="false">IF(C38="","",C38+D38+E38)</f>
        <v>0.9999</v>
      </c>
      <c r="G38" s="10" t="n">
        <f aca="false">IF(C38="","",C38*$B$1)</f>
        <v>1.7997</v>
      </c>
      <c r="H38" s="10" t="n">
        <f aca="false">IF(D38="","",D38*$B$1)</f>
        <v>1.5526</v>
      </c>
      <c r="I38" s="10" t="n">
        <f aca="false">IF(E38="","",E38*$B$1)</f>
        <v>3.647</v>
      </c>
      <c r="J38" s="10" t="n">
        <f aca="false">IF(G38="","",G38+H38+I38)</f>
        <v>6.9993</v>
      </c>
    </row>
    <row r="39" customFormat="false" ht="15" hidden="false" customHeight="true" outlineLevel="0" collapsed="false">
      <c r="A39" s="8"/>
      <c r="B39" s="8" t="n">
        <v>4</v>
      </c>
      <c r="C39" s="9" t="n">
        <v>0.3682</v>
      </c>
      <c r="D39" s="9" t="n">
        <v>0.119</v>
      </c>
      <c r="E39" s="9" t="n">
        <v>0.5128</v>
      </c>
      <c r="F39" s="10" t="n">
        <f aca="false">IF(C39="","",C39+D39+E39)</f>
        <v>1</v>
      </c>
      <c r="G39" s="10" t="n">
        <f aca="false">IF(C39="","",C39*$B$1)</f>
        <v>2.5774</v>
      </c>
      <c r="H39" s="10" t="n">
        <f aca="false">IF(D39="","",D39*$B$1)</f>
        <v>0.833</v>
      </c>
      <c r="I39" s="10" t="n">
        <f aca="false">IF(E39="","",E39*$B$1)</f>
        <v>3.5896</v>
      </c>
      <c r="J39" s="10" t="n">
        <f aca="false">IF(G39="","",G39+H39+I39)</f>
        <v>7</v>
      </c>
    </row>
    <row r="40" customFormat="false" ht="15" hidden="false" customHeight="true" outlineLevel="0" collapsed="false">
      <c r="A40" s="8"/>
      <c r="B40" s="8" t="n">
        <v>5</v>
      </c>
      <c r="C40" s="9" t="n">
        <v>0.1411</v>
      </c>
      <c r="D40" s="9" t="n">
        <v>0.3293</v>
      </c>
      <c r="E40" s="9" t="n">
        <v>0.5296</v>
      </c>
      <c r="F40" s="10" t="n">
        <f aca="false">IF(C40="","",C40+D40+E40)</f>
        <v>1</v>
      </c>
      <c r="G40" s="10" t="n">
        <f aca="false">IF(C40="","",C40*$B$1)</f>
        <v>0.9877</v>
      </c>
      <c r="H40" s="10" t="n">
        <f aca="false">IF(D40="","",D40*$B$1)</f>
        <v>2.3051</v>
      </c>
      <c r="I40" s="10" t="n">
        <f aca="false">IF(E40="","",E40*$B$1)</f>
        <v>3.7072</v>
      </c>
      <c r="J40" s="10" t="n">
        <f aca="false">IF(G40="","",G40+H40+I40)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17.26"/>
    <col collapsed="false" customWidth="true" hidden="false" outlineLevel="0" max="2" min="2" style="1" width="19"/>
    <col collapsed="false" customWidth="true" hidden="false" outlineLevel="0" max="3" min="3" style="1" width="17.38"/>
    <col collapsed="false" customWidth="true" hidden="false" outlineLevel="0" max="4" min="4" style="1" width="14.38"/>
    <col collapsed="false" customWidth="true" hidden="false" outlineLevel="0" max="5" min="5" style="1" width="12.88"/>
    <col collapsed="false" customWidth="true" hidden="false" outlineLevel="0" max="6" min="6" style="1" width="30"/>
    <col collapsed="false" customWidth="true" hidden="false" outlineLevel="0" max="7" min="7" style="1" width="15.25"/>
    <col collapsed="false" customWidth="true" hidden="false" outlineLevel="0" max="8" min="8" style="1" width="13.12"/>
    <col collapsed="false" customWidth="true" hidden="false" outlineLevel="0" max="9" min="9" style="1" width="13.5"/>
    <col collapsed="false" customWidth="true" hidden="false" outlineLevel="0" max="10" min="10" style="1" width="11.88"/>
    <col collapsed="false" customWidth="true" hidden="false" outlineLevel="0" max="11" min="11" style="1" width="12.25"/>
    <col collapsed="false" customWidth="true" hidden="false" outlineLevel="0" max="12" min="12" style="1" width="9"/>
    <col collapsed="false" customWidth="true" hidden="false" outlineLevel="0" max="13" min="13" style="1" width="14.25"/>
    <col collapsed="false" customWidth="true" hidden="false" outlineLevel="0" max="14" min="14" style="1" width="7.63"/>
    <col collapsed="false" customWidth="true" hidden="false" outlineLevel="0" max="15" min="15" style="1" width="7"/>
    <col collapsed="false" customWidth="true" hidden="false" outlineLevel="0" max="16" min="16" style="1" width="8.76"/>
    <col collapsed="false" customWidth="true" hidden="false" outlineLevel="0" max="18" min="18" style="1" width="11"/>
    <col collapsed="false" customWidth="true" hidden="false" outlineLevel="0" max="19" min="19" style="1" width="11.88"/>
    <col collapsed="false" customWidth="true" hidden="false" outlineLevel="0" max="20" min="20" style="1" width="12.63"/>
    <col collapsed="false" customWidth="true" hidden="false" outlineLevel="0" max="21" min="21" style="1" width="9.88"/>
    <col collapsed="false" customWidth="true" hidden="false" outlineLevel="0" max="22" min="22" style="1" width="14"/>
    <col collapsed="false" customWidth="true" hidden="false" outlineLevel="0" max="23" min="23" style="1" width="11.38"/>
    <col collapsed="false" customWidth="true" hidden="false" outlineLevel="0" max="24" min="24" style="1" width="10.63"/>
    <col collapsed="false" customWidth="true" hidden="false" outlineLevel="0" max="25" min="25" style="1" width="9"/>
  </cols>
  <sheetData>
    <row r="1" customFormat="false" ht="15" hidden="false" customHeight="true" outlineLevel="0" collapsed="false">
      <c r="A1" s="11" t="s">
        <v>17</v>
      </c>
      <c r="B1" s="12"/>
      <c r="C1" s="12"/>
      <c r="D1" s="12"/>
      <c r="E1" s="12"/>
      <c r="F1" s="13"/>
      <c r="G1" s="14" t="s">
        <v>18</v>
      </c>
      <c r="H1" s="15"/>
      <c r="I1" s="15"/>
      <c r="J1" s="15"/>
      <c r="K1" s="15"/>
      <c r="L1" s="16"/>
      <c r="M1" s="17" t="s">
        <v>19</v>
      </c>
      <c r="N1" s="18"/>
      <c r="O1" s="18"/>
      <c r="P1" s="18"/>
      <c r="Q1" s="18"/>
      <c r="R1" s="19"/>
      <c r="S1" s="20" t="s">
        <v>20</v>
      </c>
      <c r="T1" s="21"/>
      <c r="U1" s="22"/>
      <c r="V1" s="23" t="s">
        <v>21</v>
      </c>
      <c r="W1" s="24"/>
      <c r="X1" s="25"/>
    </row>
    <row r="2" customFormat="false" ht="14.25" hidden="false" customHeight="true" outlineLevel="0" collapsed="false">
      <c r="A2" s="26" t="s">
        <v>22</v>
      </c>
      <c r="B2" s="26" t="s">
        <v>23</v>
      </c>
      <c r="C2" s="26" t="s">
        <v>24</v>
      </c>
      <c r="D2" s="26" t="s">
        <v>25</v>
      </c>
      <c r="E2" s="26" t="s">
        <v>26</v>
      </c>
      <c r="F2" s="26" t="s">
        <v>27</v>
      </c>
      <c r="G2" s="26" t="s">
        <v>28</v>
      </c>
      <c r="H2" s="26" t="s">
        <v>29</v>
      </c>
      <c r="I2" s="26" t="s">
        <v>30</v>
      </c>
      <c r="J2" s="26" t="s">
        <v>31</v>
      </c>
      <c r="K2" s="26" t="s">
        <v>32</v>
      </c>
      <c r="L2" s="26" t="s">
        <v>33</v>
      </c>
      <c r="M2" s="26" t="s">
        <v>34</v>
      </c>
      <c r="N2" s="26" t="s">
        <v>35</v>
      </c>
      <c r="O2" s="26" t="s">
        <v>36</v>
      </c>
      <c r="P2" s="26" t="s">
        <v>37</v>
      </c>
      <c r="Q2" s="26" t="s">
        <v>38</v>
      </c>
      <c r="R2" s="26" t="s">
        <v>39</v>
      </c>
      <c r="S2" s="26" t="s">
        <v>40</v>
      </c>
      <c r="T2" s="26" t="s">
        <v>41</v>
      </c>
      <c r="U2" s="26" t="s">
        <v>42</v>
      </c>
      <c r="V2" s="26" t="s">
        <v>43</v>
      </c>
      <c r="W2" s="26" t="s">
        <v>44</v>
      </c>
      <c r="X2" s="26" t="s">
        <v>45</v>
      </c>
      <c r="AA2" s="27" t="s">
        <v>46</v>
      </c>
      <c r="AB2" s="27" t="s">
        <v>34</v>
      </c>
      <c r="AC2" s="27" t="s">
        <v>47</v>
      </c>
    </row>
    <row r="3" customFormat="false" ht="14.25" hidden="false" customHeight="true" outlineLevel="0" collapsed="false">
      <c r="A3" s="28" t="s">
        <v>48</v>
      </c>
      <c r="B3" s="28" t="s">
        <v>49</v>
      </c>
      <c r="C3" s="28" t="s">
        <v>50</v>
      </c>
      <c r="D3" s="28" t="s">
        <v>51</v>
      </c>
      <c r="E3" s="28" t="s">
        <v>52</v>
      </c>
      <c r="F3" s="28" t="s">
        <v>53</v>
      </c>
      <c r="G3" s="28" t="s">
        <v>54</v>
      </c>
      <c r="H3" s="28" t="s">
        <v>55</v>
      </c>
      <c r="I3" s="28" t="s">
        <v>56</v>
      </c>
      <c r="J3" s="28" t="s">
        <v>57</v>
      </c>
      <c r="K3" s="28" t="s">
        <v>58</v>
      </c>
      <c r="L3" s="28" t="s">
        <v>59</v>
      </c>
      <c r="M3" s="28" t="s">
        <v>60</v>
      </c>
      <c r="N3" s="28" t="s">
        <v>61</v>
      </c>
      <c r="O3" s="28" t="s">
        <v>62</v>
      </c>
      <c r="P3" s="28" t="s">
        <v>63</v>
      </c>
      <c r="Q3" s="28" t="s">
        <v>64</v>
      </c>
      <c r="R3" s="28" t="s">
        <v>65</v>
      </c>
      <c r="S3" s="28" t="s">
        <v>62</v>
      </c>
      <c r="T3" s="28" t="s">
        <v>66</v>
      </c>
      <c r="U3" s="28" t="s">
        <v>67</v>
      </c>
      <c r="V3" s="28" t="s">
        <v>68</v>
      </c>
      <c r="W3" s="28" t="s">
        <v>69</v>
      </c>
      <c r="X3" s="28" t="s">
        <v>70</v>
      </c>
      <c r="AA3" s="1" t="s">
        <v>71</v>
      </c>
      <c r="AB3" s="1" t="n">
        <v>192.3</v>
      </c>
      <c r="AC3" s="1" t="n">
        <v>0.978</v>
      </c>
    </row>
    <row r="4" customFormat="false" ht="14.25" hidden="false" customHeight="true" outlineLevel="0" collapsed="false">
      <c r="A4" s="29" t="s">
        <v>71</v>
      </c>
      <c r="B4" s="29" t="s">
        <v>72</v>
      </c>
      <c r="C4" s="30" t="s">
        <v>73</v>
      </c>
      <c r="D4" s="29" t="s">
        <v>74</v>
      </c>
      <c r="E4" s="31" t="s">
        <v>75</v>
      </c>
      <c r="F4" s="29" t="s">
        <v>76</v>
      </c>
      <c r="G4" s="32" t="s">
        <v>77</v>
      </c>
      <c r="H4" s="29" t="s">
        <v>78</v>
      </c>
      <c r="I4" s="29" t="s">
        <v>79</v>
      </c>
      <c r="J4" s="29" t="s">
        <v>80</v>
      </c>
      <c r="K4" s="29" t="n">
        <v>1</v>
      </c>
      <c r="L4" s="29" t="s">
        <v>81</v>
      </c>
      <c r="M4" s="29" t="n">
        <v>192.3</v>
      </c>
      <c r="N4" s="29" t="n">
        <v>266</v>
      </c>
      <c r="O4" s="30" t="s">
        <v>73</v>
      </c>
      <c r="P4" s="33" t="n">
        <v>0.94498</v>
      </c>
      <c r="Q4" s="34"/>
      <c r="R4" s="35" t="s">
        <v>73</v>
      </c>
      <c r="S4" s="35" t="s">
        <v>73</v>
      </c>
      <c r="T4" s="35" t="s">
        <v>73</v>
      </c>
      <c r="U4" s="35" t="s">
        <v>73</v>
      </c>
      <c r="V4" s="35" t="s">
        <v>73</v>
      </c>
      <c r="W4" s="35" t="s">
        <v>82</v>
      </c>
      <c r="X4" s="29"/>
      <c r="AA4" s="1" t="s">
        <v>83</v>
      </c>
      <c r="AB4" s="1" t="n">
        <v>122.16</v>
      </c>
      <c r="AC4" s="36" t="n">
        <v>1</v>
      </c>
    </row>
    <row r="5" customFormat="false" ht="14.25" hidden="false" customHeight="true" outlineLevel="0" collapsed="false">
      <c r="A5" s="29" t="s">
        <v>83</v>
      </c>
      <c r="B5" s="29" t="s">
        <v>84</v>
      </c>
      <c r="C5" s="30" t="s">
        <v>73</v>
      </c>
      <c r="D5" s="29" t="s">
        <v>85</v>
      </c>
      <c r="E5" s="34" t="s">
        <v>86</v>
      </c>
      <c r="F5" s="29" t="s">
        <v>87</v>
      </c>
      <c r="G5" s="32" t="s">
        <v>88</v>
      </c>
      <c r="H5" s="29" t="s">
        <v>78</v>
      </c>
      <c r="I5" s="29" t="s">
        <v>89</v>
      </c>
      <c r="J5" s="29" t="s">
        <v>90</v>
      </c>
      <c r="K5" s="29" t="n">
        <v>1</v>
      </c>
      <c r="L5" s="29" t="s">
        <v>81</v>
      </c>
      <c r="M5" s="29" t="n">
        <v>122.16</v>
      </c>
      <c r="N5" s="29" t="n">
        <v>219</v>
      </c>
      <c r="O5" s="30" t="s">
        <v>73</v>
      </c>
      <c r="P5" s="33" t="n">
        <v>1.01985</v>
      </c>
      <c r="Q5" s="34"/>
      <c r="R5" s="35" t="s">
        <v>73</v>
      </c>
      <c r="S5" s="35" t="s">
        <v>73</v>
      </c>
      <c r="T5" s="35" t="s">
        <v>73</v>
      </c>
      <c r="U5" s="35" t="s">
        <v>73</v>
      </c>
      <c r="V5" s="35" t="s">
        <v>73</v>
      </c>
      <c r="W5" s="35" t="s">
        <v>82</v>
      </c>
      <c r="X5" s="29"/>
      <c r="AA5" s="1" t="s">
        <v>91</v>
      </c>
      <c r="AB5" s="1" t="n">
        <v>170.25</v>
      </c>
      <c r="AC5" s="1" t="n">
        <v>0.987</v>
      </c>
    </row>
    <row r="6" customFormat="false" ht="14.25" hidden="false" customHeight="true" outlineLevel="0" collapsed="false">
      <c r="A6" s="29" t="s">
        <v>91</v>
      </c>
      <c r="B6" s="29" t="s">
        <v>92</v>
      </c>
      <c r="C6" s="30" t="s">
        <v>73</v>
      </c>
      <c r="D6" s="29" t="s">
        <v>93</v>
      </c>
      <c r="E6" s="34" t="s">
        <v>94</v>
      </c>
      <c r="F6" s="29" t="s">
        <v>95</v>
      </c>
      <c r="G6" s="32" t="s">
        <v>88</v>
      </c>
      <c r="H6" s="29" t="s">
        <v>78</v>
      </c>
      <c r="I6" s="29" t="s">
        <v>96</v>
      </c>
      <c r="J6" s="29" t="s">
        <v>97</v>
      </c>
      <c r="K6" s="29" t="n">
        <v>1</v>
      </c>
      <c r="L6" s="29" t="s">
        <v>81</v>
      </c>
      <c r="M6" s="29" t="n">
        <v>170.25</v>
      </c>
      <c r="N6" s="29" t="n">
        <v>285</v>
      </c>
      <c r="O6" s="30" t="s">
        <v>73</v>
      </c>
      <c r="P6" s="33" t="n">
        <v>0.95292</v>
      </c>
      <c r="Q6" s="34"/>
      <c r="R6" s="35" t="s">
        <v>73</v>
      </c>
      <c r="S6" s="35" t="s">
        <v>73</v>
      </c>
      <c r="T6" s="35" t="s">
        <v>73</v>
      </c>
      <c r="U6" s="35" t="s">
        <v>73</v>
      </c>
      <c r="V6" s="35" t="s">
        <v>73</v>
      </c>
      <c r="W6" s="35" t="s">
        <v>82</v>
      </c>
      <c r="X6" s="29"/>
      <c r="AA6" s="1" t="s">
        <v>98</v>
      </c>
      <c r="AB6" s="1" t="n">
        <v>86.13</v>
      </c>
      <c r="AC6" s="1" t="n">
        <v>0.996</v>
      </c>
    </row>
    <row r="7" customFormat="false" ht="14.25" hidden="false" customHeight="true" outlineLevel="0" collapsed="false">
      <c r="A7" s="37" t="s">
        <v>98</v>
      </c>
      <c r="B7" s="37" t="s">
        <v>99</v>
      </c>
      <c r="C7" s="37" t="s">
        <v>100</v>
      </c>
      <c r="D7" s="37" t="s">
        <v>101</v>
      </c>
      <c r="E7" s="37" t="s">
        <v>102</v>
      </c>
      <c r="F7" s="37" t="s">
        <v>103</v>
      </c>
      <c r="G7" s="38" t="s">
        <v>77</v>
      </c>
      <c r="H7" s="37" t="s">
        <v>104</v>
      </c>
      <c r="I7" s="39" t="s">
        <v>105</v>
      </c>
      <c r="J7" s="37" t="s">
        <v>106</v>
      </c>
      <c r="K7" s="38" t="n">
        <v>1</v>
      </c>
      <c r="L7" s="37" t="s">
        <v>81</v>
      </c>
      <c r="M7" s="37" t="n">
        <v>86.13</v>
      </c>
      <c r="N7" s="37" t="n">
        <v>99</v>
      </c>
      <c r="O7" s="40" t="s">
        <v>73</v>
      </c>
      <c r="P7" s="41" t="n">
        <v>0.82388</v>
      </c>
      <c r="Q7" s="42"/>
      <c r="R7" s="37" t="s">
        <v>73</v>
      </c>
      <c r="S7" s="37" t="s">
        <v>73</v>
      </c>
      <c r="T7" s="37" t="s">
        <v>73</v>
      </c>
      <c r="U7" s="37" t="s">
        <v>73</v>
      </c>
      <c r="V7" s="37" t="s">
        <v>73</v>
      </c>
      <c r="W7" s="37" t="s">
        <v>82</v>
      </c>
      <c r="X7" s="37"/>
      <c r="AA7" s="1" t="s">
        <v>107</v>
      </c>
      <c r="AB7" s="1" t="n">
        <v>88.15</v>
      </c>
      <c r="AC7" s="36" t="n">
        <v>1</v>
      </c>
    </row>
    <row r="8" customFormat="false" ht="14.25" hidden="false" customHeight="true" outlineLevel="0" collapsed="false">
      <c r="A8" s="43" t="s">
        <v>107</v>
      </c>
      <c r="B8" s="43" t="s">
        <v>108</v>
      </c>
      <c r="C8" s="43" t="s">
        <v>109</v>
      </c>
      <c r="D8" s="43" t="s">
        <v>110</v>
      </c>
      <c r="E8" s="44" t="s">
        <v>111</v>
      </c>
      <c r="F8" s="43" t="s">
        <v>112</v>
      </c>
      <c r="G8" s="45" t="n">
        <v>3.2</v>
      </c>
      <c r="H8" s="43" t="s">
        <v>78</v>
      </c>
      <c r="I8" s="46" t="s">
        <v>113</v>
      </c>
      <c r="J8" s="43" t="s">
        <v>114</v>
      </c>
      <c r="K8" s="45" t="n">
        <v>1</v>
      </c>
      <c r="L8" s="43" t="s">
        <v>81</v>
      </c>
      <c r="M8" s="43" t="n">
        <v>88.15</v>
      </c>
      <c r="N8" s="43" t="n">
        <v>102</v>
      </c>
      <c r="O8" s="47" t="s">
        <v>73</v>
      </c>
      <c r="P8" s="41" t="n">
        <v>0.80899</v>
      </c>
      <c r="Q8" s="48"/>
      <c r="R8" s="43" t="s">
        <v>73</v>
      </c>
      <c r="S8" s="43" t="s">
        <v>73</v>
      </c>
      <c r="T8" s="43" t="s">
        <v>73</v>
      </c>
      <c r="U8" s="43" t="s">
        <v>73</v>
      </c>
      <c r="V8" s="43" t="s">
        <v>73</v>
      </c>
      <c r="W8" s="43" t="s">
        <v>82</v>
      </c>
      <c r="X8" s="43"/>
      <c r="AA8" s="1" t="s">
        <v>14</v>
      </c>
      <c r="AB8" s="1" t="n">
        <v>102.17</v>
      </c>
      <c r="AC8" s="1" t="n">
        <v>0.998</v>
      </c>
    </row>
    <row r="9" customFormat="false" ht="14.25" hidden="false" customHeight="true" outlineLevel="0" collapsed="false">
      <c r="A9" s="43" t="s">
        <v>14</v>
      </c>
      <c r="B9" s="43" t="s">
        <v>115</v>
      </c>
      <c r="C9" s="43" t="s">
        <v>73</v>
      </c>
      <c r="D9" s="43" t="s">
        <v>116</v>
      </c>
      <c r="E9" s="43" t="s">
        <v>117</v>
      </c>
      <c r="F9" s="43" t="s">
        <v>118</v>
      </c>
      <c r="G9" s="45" t="s">
        <v>119</v>
      </c>
      <c r="H9" s="43" t="s">
        <v>78</v>
      </c>
      <c r="I9" s="43" t="s">
        <v>120</v>
      </c>
      <c r="J9" s="43" t="s">
        <v>121</v>
      </c>
      <c r="K9" s="45" t="n">
        <v>700</v>
      </c>
      <c r="L9" s="43" t="s">
        <v>122</v>
      </c>
      <c r="M9" s="43" t="n">
        <v>102.17</v>
      </c>
      <c r="N9" s="43" t="n">
        <v>156</v>
      </c>
      <c r="O9" s="47" t="s">
        <v>73</v>
      </c>
      <c r="P9" s="41" t="n">
        <v>0.81883</v>
      </c>
      <c r="Q9" s="48"/>
      <c r="R9" s="43" t="s">
        <v>73</v>
      </c>
      <c r="S9" s="43" t="s">
        <v>73</v>
      </c>
      <c r="T9" s="43" t="s">
        <v>73</v>
      </c>
      <c r="U9" s="43" t="s">
        <v>73</v>
      </c>
      <c r="V9" s="43" t="s">
        <v>73</v>
      </c>
      <c r="W9" s="43" t="s">
        <v>82</v>
      </c>
      <c r="X9" s="43"/>
      <c r="AA9" s="1" t="s">
        <v>123</v>
      </c>
      <c r="AB9" s="1" t="n">
        <v>130.23</v>
      </c>
      <c r="AC9" s="1" t="n">
        <v>0.997</v>
      </c>
    </row>
    <row r="10" customFormat="false" ht="14.25" hidden="false" customHeight="true" outlineLevel="0" collapsed="false">
      <c r="A10" s="43" t="s">
        <v>123</v>
      </c>
      <c r="B10" s="43" t="s">
        <v>124</v>
      </c>
      <c r="C10" s="43" t="s">
        <v>73</v>
      </c>
      <c r="D10" s="43" t="s">
        <v>125</v>
      </c>
      <c r="E10" s="43" t="s">
        <v>126</v>
      </c>
      <c r="F10" s="43" t="s">
        <v>127</v>
      </c>
      <c r="G10" s="45" t="n">
        <v>1.2</v>
      </c>
      <c r="H10" s="43" t="s">
        <v>78</v>
      </c>
      <c r="I10" s="43" t="s">
        <v>128</v>
      </c>
      <c r="J10" s="43" t="s">
        <v>129</v>
      </c>
      <c r="K10" s="45" t="s">
        <v>130</v>
      </c>
      <c r="L10" s="43" t="s">
        <v>122</v>
      </c>
      <c r="M10" s="43" t="n">
        <v>130.23</v>
      </c>
      <c r="N10" s="43" t="n">
        <v>195</v>
      </c>
      <c r="O10" s="47" t="s">
        <v>73</v>
      </c>
      <c r="P10" s="49" t="n">
        <v>0.82518</v>
      </c>
      <c r="Q10" s="48"/>
      <c r="R10" s="43" t="s">
        <v>73</v>
      </c>
      <c r="S10" s="43" t="s">
        <v>73</v>
      </c>
      <c r="T10" s="43" t="s">
        <v>73</v>
      </c>
      <c r="U10" s="43" t="s">
        <v>73</v>
      </c>
      <c r="V10" s="43" t="s">
        <v>73</v>
      </c>
      <c r="W10" s="43" t="s">
        <v>82</v>
      </c>
      <c r="X10" s="43"/>
      <c r="AA10" s="1" t="s">
        <v>15</v>
      </c>
      <c r="AB10" s="1" t="n">
        <v>100.16</v>
      </c>
      <c r="AC10" s="1" t="n">
        <v>0.998</v>
      </c>
    </row>
    <row r="11" customFormat="false" ht="14.25" hidden="false" customHeight="true" outlineLevel="0" collapsed="false">
      <c r="A11" s="43" t="s">
        <v>15</v>
      </c>
      <c r="B11" s="43" t="s">
        <v>131</v>
      </c>
      <c r="C11" s="43" t="s">
        <v>132</v>
      </c>
      <c r="D11" s="43" t="s">
        <v>133</v>
      </c>
      <c r="E11" s="44" t="s">
        <v>134</v>
      </c>
      <c r="F11" s="43" t="s">
        <v>135</v>
      </c>
      <c r="G11" s="45" t="n">
        <v>2.4</v>
      </c>
      <c r="H11" s="43" t="s">
        <v>136</v>
      </c>
      <c r="I11" s="43" t="s">
        <v>120</v>
      </c>
      <c r="J11" s="43" t="s">
        <v>137</v>
      </c>
      <c r="K11" s="45" t="s">
        <v>138</v>
      </c>
      <c r="L11" s="43" t="s">
        <v>122</v>
      </c>
      <c r="M11" s="43" t="n">
        <v>100.16</v>
      </c>
      <c r="N11" s="43" t="n">
        <v>115</v>
      </c>
      <c r="O11" s="47" t="s">
        <v>73</v>
      </c>
      <c r="P11" s="49" t="n">
        <v>0.80143</v>
      </c>
      <c r="Q11" s="48"/>
      <c r="R11" s="43" t="s">
        <v>73</v>
      </c>
      <c r="S11" s="43" t="s">
        <v>73</v>
      </c>
      <c r="T11" s="43" t="s">
        <v>73</v>
      </c>
      <c r="U11" s="43" t="s">
        <v>73</v>
      </c>
      <c r="V11" s="43" t="s">
        <v>73</v>
      </c>
      <c r="W11" s="43" t="s">
        <v>82</v>
      </c>
      <c r="X11" s="43"/>
      <c r="AA11" s="1" t="s">
        <v>16</v>
      </c>
      <c r="AB11" s="1" t="n">
        <v>128.21</v>
      </c>
      <c r="AC11" s="1" t="n">
        <v>0.988</v>
      </c>
    </row>
    <row r="12" customFormat="false" ht="14.25" hidden="false" customHeight="true" outlineLevel="0" collapsed="false">
      <c r="A12" s="43" t="s">
        <v>16</v>
      </c>
      <c r="B12" s="43" t="s">
        <v>139</v>
      </c>
      <c r="C12" s="43" t="s">
        <v>140</v>
      </c>
      <c r="D12" s="43" t="s">
        <v>141</v>
      </c>
      <c r="E12" s="44" t="s">
        <v>142</v>
      </c>
      <c r="F12" s="43" t="s">
        <v>143</v>
      </c>
      <c r="G12" s="45" t="n">
        <v>3.2</v>
      </c>
      <c r="H12" s="43" t="s">
        <v>78</v>
      </c>
      <c r="I12" s="50" t="s">
        <v>144</v>
      </c>
      <c r="J12" s="43" t="s">
        <v>145</v>
      </c>
      <c r="K12" s="45" t="s">
        <v>130</v>
      </c>
      <c r="L12" s="43" t="s">
        <v>122</v>
      </c>
      <c r="M12" s="43" t="n">
        <v>128.21</v>
      </c>
      <c r="N12" s="43" t="n">
        <v>173</v>
      </c>
      <c r="O12" s="47" t="s">
        <v>73</v>
      </c>
      <c r="P12" s="41" t="n">
        <v>0.81906</v>
      </c>
      <c r="Q12" s="48"/>
      <c r="R12" s="43" t="s">
        <v>73</v>
      </c>
      <c r="S12" s="43" t="s">
        <v>73</v>
      </c>
      <c r="T12" s="43" t="s">
        <v>73</v>
      </c>
      <c r="U12" s="43" t="s">
        <v>73</v>
      </c>
      <c r="V12" s="43" t="s">
        <v>73</v>
      </c>
      <c r="W12" s="43" t="s">
        <v>82</v>
      </c>
      <c r="X12" s="43"/>
      <c r="AA12" s="1" t="s">
        <v>146</v>
      </c>
      <c r="AB12" s="1" t="n">
        <v>150.22</v>
      </c>
      <c r="AC12" s="1" t="n">
        <v>0.999</v>
      </c>
    </row>
    <row r="13" customFormat="false" ht="14.25" hidden="false" customHeight="true" outlineLevel="0" collapsed="false">
      <c r="A13" s="51" t="s">
        <v>146</v>
      </c>
      <c r="B13" s="51" t="s">
        <v>147</v>
      </c>
      <c r="C13" s="51" t="s">
        <v>73</v>
      </c>
      <c r="D13" s="51" t="s">
        <v>148</v>
      </c>
      <c r="E13" s="51" t="s">
        <v>149</v>
      </c>
      <c r="F13" s="51" t="s">
        <v>150</v>
      </c>
      <c r="G13" s="52" t="n">
        <v>1.2</v>
      </c>
      <c r="H13" s="51" t="s">
        <v>78</v>
      </c>
      <c r="I13" s="51" t="s">
        <v>113</v>
      </c>
      <c r="J13" s="51" t="s">
        <v>151</v>
      </c>
      <c r="K13" s="52" t="n">
        <v>800</v>
      </c>
      <c r="L13" s="51" t="s">
        <v>152</v>
      </c>
      <c r="M13" s="51" t="n">
        <v>150.22</v>
      </c>
      <c r="N13" s="51" t="n">
        <v>233</v>
      </c>
      <c r="O13" s="51" t="s">
        <v>73</v>
      </c>
      <c r="P13" s="53" t="n">
        <v>0.96</v>
      </c>
      <c r="Q13" s="51"/>
      <c r="R13" s="51" t="s">
        <v>73</v>
      </c>
      <c r="S13" s="51" t="s">
        <v>73</v>
      </c>
      <c r="T13" s="51" t="s">
        <v>73</v>
      </c>
      <c r="U13" s="51" t="s">
        <v>73</v>
      </c>
      <c r="V13" s="51" t="s">
        <v>73</v>
      </c>
      <c r="W13" s="51" t="s">
        <v>82</v>
      </c>
      <c r="X13" s="51"/>
      <c r="AA13" s="1" t="s">
        <v>153</v>
      </c>
      <c r="AB13" s="1" t="n">
        <v>150.22</v>
      </c>
      <c r="AC13" s="1" t="n">
        <v>0.992</v>
      </c>
    </row>
    <row r="14" customFormat="false" ht="14.25" hidden="false" customHeight="true" outlineLevel="0" collapsed="false">
      <c r="A14" s="51" t="s">
        <v>153</v>
      </c>
      <c r="B14" s="51" t="s">
        <v>154</v>
      </c>
      <c r="C14" s="51" t="s">
        <v>155</v>
      </c>
      <c r="D14" s="51" t="s">
        <v>156</v>
      </c>
      <c r="E14" s="54" t="s">
        <v>149</v>
      </c>
      <c r="F14" s="55" t="s">
        <v>157</v>
      </c>
      <c r="G14" s="56" t="n">
        <v>1.2</v>
      </c>
      <c r="H14" s="51" t="s">
        <v>78</v>
      </c>
      <c r="I14" s="51" t="s">
        <v>158</v>
      </c>
      <c r="J14" s="51" t="s">
        <v>159</v>
      </c>
      <c r="K14" s="52" t="n">
        <v>1</v>
      </c>
      <c r="L14" s="51" t="s">
        <v>160</v>
      </c>
      <c r="M14" s="51" t="n">
        <v>150.22</v>
      </c>
      <c r="N14" s="51" t="n">
        <v>226</v>
      </c>
      <c r="O14" s="51" t="s">
        <v>73</v>
      </c>
      <c r="P14" s="57" t="n">
        <v>0.96</v>
      </c>
      <c r="Q14" s="51"/>
      <c r="R14" s="51" t="s">
        <v>73</v>
      </c>
      <c r="S14" s="51" t="s">
        <v>73</v>
      </c>
      <c r="T14" s="51" t="s">
        <v>73</v>
      </c>
      <c r="U14" s="51" t="s">
        <v>73</v>
      </c>
      <c r="V14" s="51" t="s">
        <v>73</v>
      </c>
      <c r="W14" s="51" t="s">
        <v>82</v>
      </c>
      <c r="X14" s="51"/>
      <c r="AA14" s="1" t="s">
        <v>161</v>
      </c>
      <c r="AB14" s="1" t="n">
        <v>152.24</v>
      </c>
      <c r="AC14" s="1" t="n">
        <v>0.969</v>
      </c>
    </row>
    <row r="15" customFormat="false" ht="14.25" hidden="false" customHeight="true" outlineLevel="0" collapsed="false">
      <c r="A15" s="51" t="s">
        <v>161</v>
      </c>
      <c r="B15" s="51" t="s">
        <v>162</v>
      </c>
      <c r="C15" s="51" t="s">
        <v>73</v>
      </c>
      <c r="D15" s="51" t="s">
        <v>163</v>
      </c>
      <c r="E15" s="58" t="s">
        <v>164</v>
      </c>
      <c r="F15" s="51" t="s">
        <v>165</v>
      </c>
      <c r="G15" s="52" t="n">
        <v>3.2</v>
      </c>
      <c r="H15" s="59" t="s">
        <v>78</v>
      </c>
      <c r="I15" s="51" t="s">
        <v>166</v>
      </c>
      <c r="J15" s="51" t="s">
        <v>167</v>
      </c>
      <c r="K15" s="52" t="n">
        <v>250</v>
      </c>
      <c r="L15" s="51" t="s">
        <v>152</v>
      </c>
      <c r="M15" s="51" t="n">
        <v>152.24</v>
      </c>
      <c r="N15" s="51" t="n">
        <v>210</v>
      </c>
      <c r="O15" s="51" t="s">
        <v>73</v>
      </c>
      <c r="P15" s="57" t="n">
        <v>0.99</v>
      </c>
      <c r="Q15" s="51"/>
      <c r="R15" s="51" t="s">
        <v>73</v>
      </c>
      <c r="S15" s="51" t="s">
        <v>73</v>
      </c>
      <c r="T15" s="51" t="s">
        <v>73</v>
      </c>
      <c r="U15" s="51" t="s">
        <v>73</v>
      </c>
      <c r="V15" s="51" t="s">
        <v>73</v>
      </c>
      <c r="W15" s="51" t="s">
        <v>82</v>
      </c>
      <c r="X15" s="51"/>
      <c r="AA15" s="1" t="s">
        <v>168</v>
      </c>
      <c r="AB15" s="1" t="n">
        <v>154.25</v>
      </c>
      <c r="AC15" s="1" t="n">
        <v>0.989</v>
      </c>
    </row>
    <row r="16" customFormat="false" ht="14.25" hidden="false" customHeight="true" outlineLevel="0" collapsed="false">
      <c r="A16" s="51" t="s">
        <v>168</v>
      </c>
      <c r="B16" s="51" t="s">
        <v>169</v>
      </c>
      <c r="C16" s="51" t="s">
        <v>73</v>
      </c>
      <c r="D16" s="51" t="s">
        <v>170</v>
      </c>
      <c r="E16" s="58" t="s">
        <v>171</v>
      </c>
      <c r="F16" s="51" t="s">
        <v>172</v>
      </c>
      <c r="G16" s="52" t="n">
        <v>2.3</v>
      </c>
      <c r="H16" s="59" t="s">
        <v>78</v>
      </c>
      <c r="I16" s="51" t="s">
        <v>173</v>
      </c>
      <c r="J16" s="51" t="s">
        <v>174</v>
      </c>
      <c r="K16" s="52" t="n">
        <v>700</v>
      </c>
      <c r="L16" s="51" t="s">
        <v>152</v>
      </c>
      <c r="M16" s="51" t="n">
        <v>154.25</v>
      </c>
      <c r="N16" s="51" t="n">
        <v>229</v>
      </c>
      <c r="O16" s="51" t="s">
        <v>73</v>
      </c>
      <c r="P16" s="51" t="n">
        <v>0.889</v>
      </c>
      <c r="Q16" s="51"/>
      <c r="R16" s="51" t="s">
        <v>73</v>
      </c>
      <c r="S16" s="51" t="s">
        <v>73</v>
      </c>
      <c r="T16" s="51" t="s">
        <v>73</v>
      </c>
      <c r="U16" s="51" t="s">
        <v>73</v>
      </c>
      <c r="V16" s="51" t="s">
        <v>73</v>
      </c>
      <c r="W16" s="51" t="s">
        <v>82</v>
      </c>
      <c r="X16" s="51"/>
      <c r="AA16" s="1" t="s">
        <v>175</v>
      </c>
      <c r="AB16" s="1" t="n">
        <v>150.22</v>
      </c>
      <c r="AC16" s="1" t="n">
        <v>0.997</v>
      </c>
    </row>
    <row r="17" customFormat="false" ht="14.25" hidden="false" customHeight="true" outlineLevel="0" collapsed="false">
      <c r="A17" s="51" t="s">
        <v>175</v>
      </c>
      <c r="B17" s="51" t="s">
        <v>176</v>
      </c>
      <c r="C17" s="51" t="s">
        <v>73</v>
      </c>
      <c r="D17" s="51" t="s">
        <v>177</v>
      </c>
      <c r="E17" s="58" t="s">
        <v>149</v>
      </c>
      <c r="F17" s="51" t="s">
        <v>178</v>
      </c>
      <c r="G17" s="52" t="n">
        <v>2.1</v>
      </c>
      <c r="H17" s="59" t="s">
        <v>78</v>
      </c>
      <c r="I17" s="51" t="s">
        <v>128</v>
      </c>
      <c r="J17" s="51" t="s">
        <v>179</v>
      </c>
      <c r="K17" s="52" t="s">
        <v>180</v>
      </c>
      <c r="L17" s="51" t="s">
        <v>122</v>
      </c>
      <c r="M17" s="51" t="n">
        <v>150.22</v>
      </c>
      <c r="N17" s="51" t="n">
        <v>239</v>
      </c>
      <c r="O17" s="51" t="s">
        <v>73</v>
      </c>
      <c r="P17" s="51" t="n">
        <v>0.977</v>
      </c>
      <c r="Q17" s="51"/>
      <c r="R17" s="51" t="s">
        <v>73</v>
      </c>
      <c r="S17" s="51" t="s">
        <v>73</v>
      </c>
      <c r="T17" s="51" t="s">
        <v>73</v>
      </c>
      <c r="U17" s="51" t="s">
        <v>73</v>
      </c>
      <c r="V17" s="51" t="s">
        <v>73</v>
      </c>
      <c r="W17" s="51" t="s">
        <v>82</v>
      </c>
      <c r="X17" s="51"/>
      <c r="AA17" s="1" t="s">
        <v>181</v>
      </c>
      <c r="AB17" s="1" t="n">
        <v>164.2</v>
      </c>
      <c r="AC17" s="1" t="n">
        <v>0.992</v>
      </c>
    </row>
    <row r="18" customFormat="false" ht="14.25" hidden="false" customHeight="true" outlineLevel="0" collapsed="false">
      <c r="A18" s="51" t="s">
        <v>181</v>
      </c>
      <c r="B18" s="51" t="s">
        <v>182</v>
      </c>
      <c r="C18" s="51" t="s">
        <v>73</v>
      </c>
      <c r="D18" s="51" t="s">
        <v>183</v>
      </c>
      <c r="E18" s="54" t="s">
        <v>184</v>
      </c>
      <c r="F18" s="51" t="s">
        <v>185</v>
      </c>
      <c r="G18" s="52" t="n">
        <v>1.3</v>
      </c>
      <c r="H18" s="59" t="s">
        <v>78</v>
      </c>
      <c r="I18" s="51" t="s">
        <v>158</v>
      </c>
      <c r="J18" s="51" t="s">
        <v>186</v>
      </c>
      <c r="K18" s="52" t="s">
        <v>187</v>
      </c>
      <c r="L18" s="51" t="s">
        <v>122</v>
      </c>
      <c r="M18" s="51" t="n">
        <v>164.2</v>
      </c>
      <c r="N18" s="51" t="n">
        <v>215</v>
      </c>
      <c r="O18" s="51" t="s">
        <v>73</v>
      </c>
      <c r="P18" s="57" t="n">
        <v>1.06</v>
      </c>
      <c r="Q18" s="51"/>
      <c r="R18" s="51" t="s">
        <v>73</v>
      </c>
      <c r="S18" s="51" t="s">
        <v>73</v>
      </c>
      <c r="T18" s="51" t="s">
        <v>73</v>
      </c>
      <c r="U18" s="51" t="s">
        <v>73</v>
      </c>
      <c r="V18" s="51" t="s">
        <v>73</v>
      </c>
      <c r="W18" s="51" t="s">
        <v>82</v>
      </c>
      <c r="X18" s="51"/>
    </row>
    <row r="19" customFormat="false" ht="14.25" hidden="false" customHeight="true" outlineLevel="0" collapsed="false">
      <c r="A19" s="60" t="s">
        <v>188</v>
      </c>
      <c r="B19" s="60" t="s">
        <v>189</v>
      </c>
      <c r="C19" s="60" t="s">
        <v>73</v>
      </c>
      <c r="D19" s="60" t="s">
        <v>73</v>
      </c>
      <c r="E19" s="60" t="s">
        <v>73</v>
      </c>
      <c r="F19" s="61"/>
      <c r="G19" s="62" t="s">
        <v>73</v>
      </c>
      <c r="H19" s="60" t="s">
        <v>73</v>
      </c>
      <c r="I19" s="60" t="s">
        <v>190</v>
      </c>
      <c r="J19" s="60" t="s">
        <v>73</v>
      </c>
      <c r="K19" s="63" t="s">
        <v>73</v>
      </c>
      <c r="L19" s="60" t="s">
        <v>73</v>
      </c>
      <c r="M19" s="60" t="n">
        <v>18.02</v>
      </c>
      <c r="N19" s="60" t="n">
        <v>100</v>
      </c>
      <c r="O19" s="60" t="s">
        <v>73</v>
      </c>
      <c r="P19" s="60"/>
      <c r="Q19" s="60"/>
      <c r="R19" s="60" t="s">
        <v>73</v>
      </c>
      <c r="S19" s="60" t="s">
        <v>73</v>
      </c>
      <c r="T19" s="60" t="s">
        <v>73</v>
      </c>
      <c r="U19" s="60" t="s">
        <v>73</v>
      </c>
      <c r="V19" s="60" t="s">
        <v>73</v>
      </c>
      <c r="W19" s="60" t="s">
        <v>82</v>
      </c>
      <c r="X19" s="60"/>
    </row>
    <row r="20" customFormat="false" ht="14.25" hidden="false" customHeight="true" outlineLevel="0" collapsed="false"/>
    <row r="21" customFormat="false" ht="14.25" hidden="false" customHeight="true" outlineLevel="0" collapsed="false">
      <c r="A21" s="64"/>
      <c r="B21" s="1" t="s">
        <v>191</v>
      </c>
    </row>
    <row r="22" customFormat="false" ht="15" hidden="false" customHeight="true" outlineLevel="0" collapsed="false">
      <c r="A22" s="65"/>
      <c r="B22" s="66" t="s">
        <v>192</v>
      </c>
    </row>
    <row r="23" customFormat="false" ht="14.25" hidden="false" customHeight="true" outlineLevel="0" collapsed="false">
      <c r="A23" s="67"/>
      <c r="B23" s="1" t="s">
        <v>193</v>
      </c>
    </row>
    <row r="24" customFormat="false" ht="15" hidden="false" customHeight="true" outlineLevel="0" collapsed="false">
      <c r="A24" s="68"/>
      <c r="B24" s="66" t="s">
        <v>194</v>
      </c>
    </row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R11" activeCellId="0" sqref="R1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5.61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10" min="4" style="1" width="11"/>
    <col collapsed="false" customWidth="true" hidden="true" outlineLevel="0" max="14" min="11" style="1" width="11"/>
    <col collapsed="false" customWidth="true" hidden="true" outlineLevel="0" max="17" min="15" style="1" width="9"/>
    <col collapsed="false" customWidth="true" hidden="false" outlineLevel="0" max="18" min="18" style="1" width="22"/>
  </cols>
  <sheetData>
    <row r="1" customFormat="false" ht="15.75" hidden="false" customHeight="true" outlineLevel="0" collapsed="false">
      <c r="A1" s="69" t="s">
        <v>195</v>
      </c>
    </row>
    <row r="2" customFormat="false" ht="15" hidden="false" customHeight="true" outlineLevel="0" collapsed="false">
      <c r="A2" s="70" t="s">
        <v>196</v>
      </c>
    </row>
    <row r="4" customFormat="false" ht="15" hidden="false" customHeight="true" outlineLevel="0" collapsed="false">
      <c r="A4" s="71" t="s">
        <v>197</v>
      </c>
      <c r="B4" s="72" t="n">
        <f aca="false">Componentes!P4</f>
        <v>0.94498</v>
      </c>
      <c r="C4" s="70" t="s">
        <v>198</v>
      </c>
    </row>
    <row r="5" customFormat="false" ht="15" hidden="false" customHeight="true" outlineLevel="0" collapsed="false">
      <c r="A5" s="71" t="s">
        <v>199</v>
      </c>
      <c r="B5" s="73" t="n">
        <v>0.997</v>
      </c>
    </row>
    <row r="7" customFormat="false" ht="15" hidden="false" customHeight="true" outlineLevel="0" collapsed="false">
      <c r="A7" s="74"/>
      <c r="B7" s="75" t="s">
        <v>200</v>
      </c>
      <c r="C7" s="76"/>
      <c r="D7" s="76"/>
      <c r="E7" s="77"/>
      <c r="F7" s="75" t="s">
        <v>201</v>
      </c>
      <c r="G7" s="76"/>
      <c r="H7" s="76"/>
      <c r="I7" s="78"/>
      <c r="J7" s="75" t="s">
        <v>202</v>
      </c>
      <c r="K7" s="76"/>
      <c r="L7" s="76"/>
      <c r="M7" s="76"/>
      <c r="N7" s="76"/>
      <c r="O7" s="76"/>
      <c r="P7" s="76"/>
      <c r="Q7" s="76"/>
      <c r="R7" s="76"/>
    </row>
    <row r="9" customFormat="false" ht="23.25" hidden="false" customHeight="true" outlineLevel="0" collapsed="false">
      <c r="A9" s="79" t="s">
        <v>203</v>
      </c>
      <c r="B9" s="79" t="s">
        <v>4</v>
      </c>
      <c r="C9" s="79" t="s">
        <v>5</v>
      </c>
      <c r="D9" s="79" t="s">
        <v>204</v>
      </c>
      <c r="E9" s="79" t="s">
        <v>205</v>
      </c>
      <c r="F9" s="79" t="s">
        <v>206</v>
      </c>
      <c r="G9" s="79" t="s">
        <v>207</v>
      </c>
      <c r="H9" s="79" t="s">
        <v>208</v>
      </c>
      <c r="I9" s="79" t="s">
        <v>209</v>
      </c>
      <c r="J9" s="79" t="s">
        <v>210</v>
      </c>
      <c r="K9" s="79" t="s">
        <v>211</v>
      </c>
      <c r="L9" s="79" t="s">
        <v>212</v>
      </c>
      <c r="M9" s="79" t="s">
        <v>213</v>
      </c>
      <c r="N9" s="79" t="s">
        <v>214</v>
      </c>
      <c r="O9" s="79" t="s">
        <v>215</v>
      </c>
      <c r="P9" s="79" t="s">
        <v>216</v>
      </c>
      <c r="Q9" s="79" t="s">
        <v>217</v>
      </c>
      <c r="R9" s="79" t="s">
        <v>45</v>
      </c>
    </row>
    <row r="10" customFormat="false" ht="56.7" hidden="false" customHeight="true" outlineLevel="0" collapsed="false">
      <c r="A10" s="8" t="s">
        <v>218</v>
      </c>
      <c r="B10" s="7" t="s">
        <v>14</v>
      </c>
      <c r="C10" s="8" t="n">
        <v>1</v>
      </c>
      <c r="D10" s="80" t="n">
        <f aca="false">IF(predicciones_pcsaft!E18="","",predicciones_pcsaft!E18*7/$B$5)</f>
        <v>3.54493480441324</v>
      </c>
      <c r="E10" s="80" t="n">
        <f aca="false">IF(predicciones_pcsaft!C18="","",predicciones_pcsaft!C18*7/$B$4)</f>
        <v>3.51859298609494</v>
      </c>
      <c r="F10" s="80" t="n">
        <f aca="false">IF(predicciones_pcsaft!D18="","",predicciones_pcsaft!D18*7/Componentes!P9)</f>
        <v>0.171830538695456</v>
      </c>
      <c r="G10" s="81"/>
      <c r="H10" s="81"/>
      <c r="I10" s="81"/>
      <c r="J10" s="81"/>
      <c r="K10" s="10" t="str">
        <f aca="false">IF(OR(G10="",H10=""),"",H10-G10)</f>
        <v/>
      </c>
      <c r="L10" s="10" t="str">
        <f aca="false">IF(OR(H10="",I10=""),"",I10-H10)</f>
        <v/>
      </c>
      <c r="M10" s="10" t="str">
        <f aca="false">IF(OR(I10="",J10=""),"",J10-I10)</f>
        <v/>
      </c>
      <c r="N10" s="10" t="str">
        <f aca="false">IF(OR(G10="",J10=""),"",J10-G10)</f>
        <v/>
      </c>
      <c r="O10" s="10" t="str">
        <f aca="false">IF(N10="","",K10/N10)</f>
        <v/>
      </c>
      <c r="P10" s="10" t="str">
        <f aca="false">IF(N10="","",L10/N10)</f>
        <v/>
      </c>
      <c r="Q10" s="10" t="str">
        <f aca="false">IF(N10="","",M10/N10)</f>
        <v/>
      </c>
      <c r="R10" s="82"/>
    </row>
    <row r="11" customFormat="false" ht="56.7" hidden="false" customHeight="true" outlineLevel="0" collapsed="false">
      <c r="A11" s="8" t="s">
        <v>219</v>
      </c>
      <c r="B11" s="8"/>
      <c r="C11" s="8" t="n">
        <v>2</v>
      </c>
      <c r="D11" s="80" t="n">
        <f aca="false">IF(predicciones_pcsaft!E19="","",predicciones_pcsaft!E19*7/$B$5)</f>
        <v>3.86018054162487</v>
      </c>
      <c r="E11" s="80" t="n">
        <f aca="false">IF(predicciones_pcsaft!C19="","",predicciones_pcsaft!C19*7/$B$4)</f>
        <v>0.149632796461301</v>
      </c>
      <c r="F11" s="80" t="n">
        <f aca="false">IF(predicciones_pcsaft!D19="","",predicciones_pcsaft!D19*7/Componentes!P9)</f>
        <v>3.67597669846</v>
      </c>
      <c r="G11" s="81"/>
      <c r="H11" s="81"/>
      <c r="I11" s="81"/>
      <c r="J11" s="81"/>
      <c r="K11" s="10" t="str">
        <f aca="false">IF(OR(G11="",H11=""),"",H11-G11)</f>
        <v/>
      </c>
      <c r="L11" s="10" t="str">
        <f aca="false">IF(OR(H11="",I11=""),"",I11-H11)</f>
        <v/>
      </c>
      <c r="M11" s="10" t="str">
        <f aca="false">IF(OR(I11="",J11=""),"",J11-I11)</f>
        <v/>
      </c>
      <c r="N11" s="10" t="str">
        <f aca="false">IF(OR(G11="",J11=""),"",J11-G11)</f>
        <v/>
      </c>
      <c r="O11" s="10" t="str">
        <f aca="false">IF(N11="","",K11/N11)</f>
        <v/>
      </c>
      <c r="P11" s="10" t="str">
        <f aca="false">IF(N11="","",L11/N11)</f>
        <v/>
      </c>
      <c r="Q11" s="10" t="str">
        <f aca="false">IF(N11="","",M11/N11)</f>
        <v/>
      </c>
      <c r="R11" s="82"/>
    </row>
    <row r="12" customFormat="false" ht="56.7" hidden="false" customHeight="true" outlineLevel="0" collapsed="false">
      <c r="A12" s="8" t="s">
        <v>220</v>
      </c>
      <c r="B12" s="8"/>
      <c r="C12" s="8" t="n">
        <v>3</v>
      </c>
      <c r="D12" s="80" t="n">
        <f aca="false">IF(predicciones_pcsaft!E20="","",predicciones_pcsaft!E20*7/$B$5)</f>
        <v>3.679037111334</v>
      </c>
      <c r="E12" s="80" t="n">
        <f aca="false">IF(predicciones_pcsaft!C20="","",predicciones_pcsaft!C20*7/$B$4)</f>
        <v>1.96004148235942</v>
      </c>
      <c r="F12" s="80" t="n">
        <f aca="false">IF(predicciones_pcsaft!D20="","",predicciones_pcsaft!D20*7/Componentes!P9)</f>
        <v>1.80721273035917</v>
      </c>
      <c r="G12" s="81"/>
      <c r="H12" s="81"/>
      <c r="I12" s="81"/>
      <c r="J12" s="81"/>
      <c r="K12" s="10" t="str">
        <f aca="false">IF(OR(G12="",H12=""),"",H12-G12)</f>
        <v/>
      </c>
      <c r="L12" s="10" t="str">
        <f aca="false">IF(OR(H12="",I12=""),"",I12-H12)</f>
        <v/>
      </c>
      <c r="M12" s="10" t="str">
        <f aca="false">IF(OR(I12="",J12=""),"",J12-I12)</f>
        <v/>
      </c>
      <c r="N12" s="10" t="str">
        <f aca="false">IF(OR(G12="",J12=""),"",J12-G12)</f>
        <v/>
      </c>
      <c r="O12" s="10" t="str">
        <f aca="false">IF(N12="","",K12/N12)</f>
        <v/>
      </c>
      <c r="P12" s="10" t="str">
        <f aca="false">IF(N12="","",L12/N12)</f>
        <v/>
      </c>
      <c r="Q12" s="10" t="str">
        <f aca="false">IF(N12="","",M12/N12)</f>
        <v/>
      </c>
      <c r="R12" s="82"/>
    </row>
    <row r="13" customFormat="false" ht="56.7" hidden="false" customHeight="true" outlineLevel="0" collapsed="false">
      <c r="A13" s="8" t="s">
        <v>221</v>
      </c>
      <c r="B13" s="8"/>
      <c r="C13" s="8" t="n">
        <v>4</v>
      </c>
      <c r="D13" s="80" t="n">
        <f aca="false">IF(predicciones_pcsaft!E21="","",predicciones_pcsaft!E21*7/$B$5)</f>
        <v>3.6074222668004</v>
      </c>
      <c r="E13" s="80" t="n">
        <f aca="false">IF(predicciones_pcsaft!C21="","",predicciones_pcsaft!C21*7/$B$4)</f>
        <v>2.76598446527969</v>
      </c>
      <c r="F13" s="80" t="n">
        <f aca="false">IF(predicciones_pcsaft!D21="","",predicciones_pcsaft!D21*7/Componentes!P9)</f>
        <v>0.964302724619274</v>
      </c>
      <c r="G13" s="81"/>
      <c r="H13" s="81"/>
      <c r="I13" s="81"/>
      <c r="J13" s="81"/>
      <c r="K13" s="10" t="str">
        <f aca="false">IF(OR(G13="",H13=""),"",H13-G13)</f>
        <v/>
      </c>
      <c r="L13" s="10" t="str">
        <f aca="false">IF(OR(H13="",I13=""),"",I13-H13)</f>
        <v/>
      </c>
      <c r="M13" s="10" t="str">
        <f aca="false">IF(OR(I13="",J13=""),"",J13-I13)</f>
        <v/>
      </c>
      <c r="N13" s="10" t="str">
        <f aca="false">IF(OR(G13="",J13=""),"",J13-G13)</f>
        <v/>
      </c>
      <c r="O13" s="10" t="str">
        <f aca="false">IF(N13="","",K13/N13)</f>
        <v/>
      </c>
      <c r="P13" s="10" t="str">
        <f aca="false">IF(N13="","",L13/N13)</f>
        <v/>
      </c>
      <c r="Q13" s="10" t="str">
        <f aca="false">IF(N13="","",M13/N13)</f>
        <v/>
      </c>
      <c r="R13" s="82"/>
    </row>
    <row r="14" customFormat="false" ht="56.7" hidden="false" customHeight="true" outlineLevel="0" collapsed="false">
      <c r="A14" s="8" t="s">
        <v>222</v>
      </c>
      <c r="B14" s="8"/>
      <c r="C14" s="8" t="n">
        <v>5</v>
      </c>
      <c r="D14" s="80" t="n">
        <f aca="false">IF(predicciones_pcsaft!E22="","",predicciones_pcsaft!E22*7/$B$5)</f>
        <v>3.76118355065196</v>
      </c>
      <c r="E14" s="80" t="n">
        <f aca="false">IF(predicciones_pcsaft!C22="","",predicciones_pcsaft!C22*7/$B$4)</f>
        <v>1.09928252449787</v>
      </c>
      <c r="F14" s="80" t="n">
        <f aca="false">IF(predicciones_pcsaft!D22="","",predicciones_pcsaft!D22*7/Componentes!P9)</f>
        <v>2.70056055591515</v>
      </c>
      <c r="G14" s="81"/>
      <c r="H14" s="81"/>
      <c r="I14" s="81"/>
      <c r="J14" s="81"/>
      <c r="K14" s="10" t="str">
        <f aca="false">IF(OR(G14="",H14=""),"",H14-G14)</f>
        <v/>
      </c>
      <c r="L14" s="10" t="str">
        <f aca="false">IF(OR(H14="",I14=""),"",I14-H14)</f>
        <v/>
      </c>
      <c r="M14" s="10" t="str">
        <f aca="false">IF(OR(I14="",J14=""),"",J14-I14)</f>
        <v/>
      </c>
      <c r="N14" s="10" t="str">
        <f aca="false">IF(OR(G14="",J14=""),"",J14-G14)</f>
        <v/>
      </c>
      <c r="O14" s="10" t="str">
        <f aca="false">IF(N14="","",K14/N14)</f>
        <v/>
      </c>
      <c r="P14" s="10" t="str">
        <f aca="false">IF(N14="","",L14/N14)</f>
        <v/>
      </c>
      <c r="Q14" s="10" t="str">
        <f aca="false">IF(N14="","",M14/N14)</f>
        <v/>
      </c>
      <c r="R14" s="82"/>
    </row>
    <row r="15" customFormat="false" ht="56.7" hidden="false" customHeight="true" outlineLevel="0" collapsed="false">
      <c r="D15" s="83"/>
      <c r="E15" s="83"/>
      <c r="F15" s="83"/>
    </row>
    <row r="16" customFormat="false" ht="56.7" hidden="false" customHeight="true" outlineLevel="0" collapsed="false">
      <c r="A16" s="8" t="s">
        <v>223</v>
      </c>
      <c r="B16" s="7" t="s">
        <v>15</v>
      </c>
      <c r="C16" s="8" t="n">
        <v>1</v>
      </c>
      <c r="D16" s="80" t="n">
        <f aca="false">IF(predicciones_pcsaft!E30="","",predicciones_pcsaft!E30*7/$B$5)</f>
        <v>3.81875626880642</v>
      </c>
      <c r="E16" s="80" t="n">
        <f aca="false">IF(predicciones_pcsaft!C30="","",predicciones_pcsaft!C30*7/$B$4)</f>
        <v>0.151114309297551</v>
      </c>
      <c r="F16" s="80" t="n">
        <f aca="false">IF(predicciones_pcsaft!D30="","",predicciones_pcsaft!D30*7/Componentes!P11)</f>
        <v>3.80557253908638</v>
      </c>
      <c r="G16" s="81"/>
      <c r="H16" s="81"/>
      <c r="I16" s="81"/>
      <c r="J16" s="81"/>
      <c r="K16" s="10" t="str">
        <f aca="false">IF(OR(G16="",H16=""),"",H16-G16)</f>
        <v/>
      </c>
      <c r="L16" s="10" t="str">
        <f aca="false">IF(OR(H16="",I16=""),"",I16-H16)</f>
        <v/>
      </c>
      <c r="M16" s="10" t="str">
        <f aca="false">IF(OR(I16="",J16=""),"",J16-I16)</f>
        <v/>
      </c>
      <c r="N16" s="10" t="str">
        <f aca="false">IF(OR(G16="",J16=""),"",J16-G16)</f>
        <v/>
      </c>
      <c r="O16" s="10" t="str">
        <f aca="false">IF(N16="","",K16/N16)</f>
        <v/>
      </c>
      <c r="P16" s="10" t="str">
        <f aca="false">IF(N16="","",L16/N16)</f>
        <v/>
      </c>
      <c r="Q16" s="10" t="str">
        <f aca="false">IF(N16="","",M16/N16)</f>
        <v/>
      </c>
      <c r="R16" s="82"/>
    </row>
    <row r="17" customFormat="false" ht="56.7" hidden="false" customHeight="true" outlineLevel="0" collapsed="false">
      <c r="A17" s="8" t="s">
        <v>224</v>
      </c>
      <c r="B17" s="8"/>
      <c r="C17" s="8" t="n">
        <v>2</v>
      </c>
      <c r="D17" s="80" t="n">
        <f aca="false">IF(predicciones_pcsaft!E31="","",predicciones_pcsaft!E31*7/$B$5)</f>
        <v>3.54633901705115</v>
      </c>
      <c r="E17" s="80" t="n">
        <f aca="false">IF(predicciones_pcsaft!C31="","",predicciones_pcsaft!C31*7/$B$4)</f>
        <v>3.51711147325869</v>
      </c>
      <c r="F17" s="80" t="n">
        <f aca="false">IF(predicciones_pcsaft!D31="","",predicciones_pcsaft!D31*7/Componentes!P11)</f>
        <v>0.175561184382916</v>
      </c>
      <c r="G17" s="81"/>
      <c r="H17" s="81"/>
      <c r="I17" s="81"/>
      <c r="J17" s="81"/>
      <c r="K17" s="10" t="str">
        <f aca="false">IF(OR(G17="",H17=""),"",H17-G17)</f>
        <v/>
      </c>
      <c r="L17" s="10" t="str">
        <f aca="false">IF(OR(H17="",I17=""),"",I17-H17)</f>
        <v/>
      </c>
      <c r="M17" s="10" t="str">
        <f aca="false">IF(OR(I17="",J17=""),"",J17-I17)</f>
        <v/>
      </c>
      <c r="N17" s="10" t="str">
        <f aca="false">IF(OR(G17="",J17=""),"",J17-G17)</f>
        <v/>
      </c>
      <c r="O17" s="10" t="str">
        <f aca="false">IF(N17="","",K17/N17)</f>
        <v/>
      </c>
      <c r="P17" s="10" t="str">
        <f aca="false">IF(N17="","",L17/N17)</f>
        <v/>
      </c>
      <c r="Q17" s="10" t="str">
        <f aca="false">IF(N17="","",M17/N17)</f>
        <v/>
      </c>
      <c r="R17" s="82"/>
    </row>
    <row r="18" customFormat="false" ht="56.7" hidden="false" customHeight="true" outlineLevel="0" collapsed="false">
      <c r="A18" s="8" t="s">
        <v>225</v>
      </c>
      <c r="B18" s="8"/>
      <c r="C18" s="8" t="n">
        <v>3</v>
      </c>
      <c r="D18" s="80" t="n">
        <f aca="false">IF(predicciones_pcsaft!E32="","",predicciones_pcsaft!E32*7/$B$5)</f>
        <v>3.67833500501505</v>
      </c>
      <c r="E18" s="80" t="n">
        <f aca="false">IF(predicciones_pcsaft!C32="","",predicciones_pcsaft!C32*7/$B$4)</f>
        <v>1.92967046921628</v>
      </c>
      <c r="F18" s="80" t="n">
        <f aca="false">IF(predicciones_pcsaft!D32="","",predicciones_pcsaft!D32*7/Componentes!P11)</f>
        <v>1.88226045942877</v>
      </c>
      <c r="G18" s="81"/>
      <c r="H18" s="81"/>
      <c r="I18" s="81"/>
      <c r="J18" s="81"/>
      <c r="K18" s="10" t="str">
        <f aca="false">IF(OR(G18="",H18=""),"",H18-G18)</f>
        <v/>
      </c>
      <c r="L18" s="10" t="str">
        <f aca="false">IF(OR(H18="",I18=""),"",I18-H18)</f>
        <v/>
      </c>
      <c r="M18" s="10" t="str">
        <f aca="false">IF(OR(I18="",J18=""),"",J18-I18)</f>
        <v/>
      </c>
      <c r="N18" s="10" t="str">
        <f aca="false">IF(OR(G18="",J18=""),"",J18-G18)</f>
        <v/>
      </c>
      <c r="O18" s="10" t="str">
        <f aca="false">IF(N18="","",K18/N18)</f>
        <v/>
      </c>
      <c r="P18" s="10" t="str">
        <f aca="false">IF(N18="","",L18/N18)</f>
        <v/>
      </c>
      <c r="Q18" s="10" t="str">
        <f aca="false">IF(N18="","",M18/N18)</f>
        <v/>
      </c>
      <c r="R18" s="82"/>
    </row>
    <row r="19" customFormat="false" ht="56.7" hidden="false" customHeight="true" outlineLevel="0" collapsed="false">
      <c r="A19" s="8" t="s">
        <v>226</v>
      </c>
      <c r="B19" s="8"/>
      <c r="C19" s="8" t="n">
        <v>4</v>
      </c>
      <c r="D19" s="80" t="n">
        <f aca="false">IF(predicciones_pcsaft!E33="","",predicciones_pcsaft!E33*7/$B$5)</f>
        <v>3.74714142427282</v>
      </c>
      <c r="E19" s="80" t="n">
        <f aca="false">IF(predicciones_pcsaft!C33="","",predicciones_pcsaft!C33*7/$B$4)</f>
        <v>1.06891151135474</v>
      </c>
      <c r="F19" s="80" t="n">
        <f aca="false">IF(predicciones_pcsaft!D33="","",predicciones_pcsaft!D33*7/Componentes!P11)</f>
        <v>2.81247270503974</v>
      </c>
      <c r="G19" s="81"/>
      <c r="H19" s="81"/>
      <c r="I19" s="81"/>
      <c r="J19" s="81"/>
      <c r="K19" s="10" t="str">
        <f aca="false">IF(OR(G19="",H19=""),"",H19-G19)</f>
        <v/>
      </c>
      <c r="L19" s="10" t="str">
        <f aca="false">IF(OR(H19="",I19=""),"",I19-H19)</f>
        <v/>
      </c>
      <c r="M19" s="10" t="str">
        <f aca="false">IF(OR(I19="",J19=""),"",J19-I19)</f>
        <v/>
      </c>
      <c r="N19" s="10" t="str">
        <f aca="false">IF(OR(G19="",J19=""),"",J19-G19)</f>
        <v/>
      </c>
      <c r="O19" s="10" t="str">
        <f aca="false">IF(N19="","",K19/N19)</f>
        <v/>
      </c>
      <c r="P19" s="10" t="str">
        <f aca="false">IF(N19="","",L19/N19)</f>
        <v/>
      </c>
      <c r="Q19" s="10" t="str">
        <f aca="false">IF(N19="","",M19/N19)</f>
        <v/>
      </c>
      <c r="R19" s="82"/>
    </row>
    <row r="20" customFormat="false" ht="56.7" hidden="false" customHeight="true" outlineLevel="0" collapsed="false">
      <c r="A20" s="8" t="s">
        <v>227</v>
      </c>
      <c r="B20" s="8"/>
      <c r="C20" s="8" t="n">
        <v>5</v>
      </c>
      <c r="D20" s="80" t="n">
        <f aca="false">IF(predicciones_pcsaft!E34="","",predicciones_pcsaft!E34*7/$B$5)</f>
        <v>3.61163490471414</v>
      </c>
      <c r="E20" s="80" t="n">
        <f aca="false">IF(predicciones_pcsaft!C34="","",predicciones_pcsaft!C34*7/$B$4)</f>
        <v>2.74894706766281</v>
      </c>
      <c r="F20" s="80" t="n">
        <f aca="false">IF(predicciones_pcsaft!D34="","",predicciones_pcsaft!D34*7/Componentes!P11)</f>
        <v>1.00008734387283</v>
      </c>
      <c r="G20" s="81"/>
      <c r="H20" s="81"/>
      <c r="I20" s="81"/>
      <c r="J20" s="81"/>
      <c r="K20" s="10" t="str">
        <f aca="false">IF(OR(G20="",H20=""),"",H20-G20)</f>
        <v/>
      </c>
      <c r="L20" s="10" t="str">
        <f aca="false">IF(OR(H20="",I20=""),"",I20-H20)</f>
        <v/>
      </c>
      <c r="M20" s="10" t="str">
        <f aca="false">IF(OR(I20="",J20=""),"",J20-I20)</f>
        <v/>
      </c>
      <c r="N20" s="10" t="str">
        <f aca="false">IF(OR(G20="",J20=""),"",J20-G20)</f>
        <v/>
      </c>
      <c r="O20" s="10" t="str">
        <f aca="false">IF(N20="","",K20/N20)</f>
        <v/>
      </c>
      <c r="P20" s="10" t="str">
        <f aca="false">IF(N20="","",L20/N20)</f>
        <v/>
      </c>
      <c r="Q20" s="10" t="str">
        <f aca="false">IF(N20="","",M20/N20)</f>
        <v/>
      </c>
      <c r="R20" s="82"/>
    </row>
    <row r="21" customFormat="false" ht="56.7" hidden="false" customHeight="true" outlineLevel="0" collapsed="false">
      <c r="D21" s="83"/>
      <c r="E21" s="83"/>
      <c r="F21" s="83"/>
    </row>
    <row r="22" customFormat="false" ht="56.7" hidden="false" customHeight="true" outlineLevel="0" collapsed="false">
      <c r="A22" s="8" t="s">
        <v>228</v>
      </c>
      <c r="B22" s="7" t="s">
        <v>16</v>
      </c>
      <c r="C22" s="8" t="n">
        <v>1</v>
      </c>
      <c r="D22" s="80" t="n">
        <f aca="false">IF(predicciones_pcsaft!E36="","",predicciones_pcsaft!E36*7/$B$5)</f>
        <v>3.78014042126379</v>
      </c>
      <c r="E22" s="80" t="n">
        <f aca="false">IF(predicciones_pcsaft!C36="","",predicciones_pcsaft!C36*7/$B$4)</f>
        <v>0.148892040043176</v>
      </c>
      <c r="F22" s="80" t="n">
        <f aca="false">IF(predicciones_pcsaft!D36="","",predicciones_pcsaft!D36*7/Componentes!P12)</f>
        <v>3.77322784655581</v>
      </c>
      <c r="G22" s="81"/>
      <c r="H22" s="81"/>
      <c r="I22" s="81"/>
      <c r="J22" s="81"/>
      <c r="K22" s="10" t="str">
        <f aca="false">IF(OR(G22="",H22=""),"",H22-G22)</f>
        <v/>
      </c>
      <c r="L22" s="10" t="str">
        <f aca="false">IF(OR(H22="",I22=""),"",I22-H22)</f>
        <v/>
      </c>
      <c r="M22" s="10" t="str">
        <f aca="false">IF(OR(I22="",J22=""),"",J22-I22)</f>
        <v/>
      </c>
      <c r="N22" s="10" t="str">
        <f aca="false">IF(OR(G22="",J22=""),"",J22-G22)</f>
        <v/>
      </c>
      <c r="O22" s="10" t="str">
        <f aca="false">IF(N22="","",K22/N22)</f>
        <v/>
      </c>
      <c r="P22" s="10" t="str">
        <f aca="false">IF(N22="","",L22/N22)</f>
        <v/>
      </c>
      <c r="Q22" s="10" t="str">
        <f aca="false">IF(N22="","",M22/N22)</f>
        <v/>
      </c>
      <c r="R22" s="82"/>
    </row>
    <row r="23" customFormat="false" ht="56.7" hidden="false" customHeight="true" outlineLevel="0" collapsed="false">
      <c r="A23" s="8" t="s">
        <v>229</v>
      </c>
      <c r="B23" s="8"/>
      <c r="C23" s="8" t="n">
        <v>2</v>
      </c>
      <c r="D23" s="80" t="n">
        <f aca="false">IF(predicciones_pcsaft!E37="","",predicciones_pcsaft!E37*7/$B$5)</f>
        <v>3.54423269809428</v>
      </c>
      <c r="E23" s="80" t="n">
        <f aca="false">IF(predicciones_pcsaft!C37="","",predicciones_pcsaft!C37*7/$B$4)</f>
        <v>3.51711147325869</v>
      </c>
      <c r="F23" s="80" t="n">
        <f aca="false">IF(predicciones_pcsaft!D37="","",predicciones_pcsaft!D37*7/Componentes!P12)</f>
        <v>0.174346201743462</v>
      </c>
      <c r="G23" s="81"/>
      <c r="H23" s="81"/>
      <c r="I23" s="81"/>
      <c r="J23" s="81"/>
      <c r="K23" s="10" t="str">
        <f aca="false">IF(OR(G23="",H23=""),"",H23-G23)</f>
        <v/>
      </c>
      <c r="L23" s="10" t="str">
        <f aca="false">IF(OR(H23="",I23=""),"",I23-H23)</f>
        <v/>
      </c>
      <c r="M23" s="10" t="str">
        <f aca="false">IF(OR(I23="",J23=""),"",J23-I23)</f>
        <v/>
      </c>
      <c r="N23" s="10" t="str">
        <f aca="false">IF(OR(G23="",J23=""),"",J23-G23)</f>
        <v/>
      </c>
      <c r="O23" s="10" t="str">
        <f aca="false">IF(N23="","",K23/N23)</f>
        <v/>
      </c>
      <c r="P23" s="10" t="str">
        <f aca="false">IF(N23="","",L23/N23)</f>
        <v/>
      </c>
      <c r="Q23" s="10" t="str">
        <f aca="false">IF(N23="","",M23/N23)</f>
        <v/>
      </c>
      <c r="R23" s="82"/>
    </row>
    <row r="24" customFormat="false" ht="56.7" hidden="false" customHeight="true" outlineLevel="0" collapsed="false">
      <c r="A24" s="8" t="s">
        <v>230</v>
      </c>
      <c r="B24" s="8"/>
      <c r="C24" s="8" t="n">
        <v>3</v>
      </c>
      <c r="D24" s="80" t="n">
        <f aca="false">IF(predicciones_pcsaft!E38="","",predicciones_pcsaft!E38*7/$B$5)</f>
        <v>3.6579739217653</v>
      </c>
      <c r="E24" s="80" t="n">
        <f aca="false">IF(predicciones_pcsaft!C38="","",predicciones_pcsaft!C38*7/$B$4)</f>
        <v>1.90448475100002</v>
      </c>
      <c r="F24" s="80" t="n">
        <f aca="false">IF(predicciones_pcsaft!D38="","",predicciones_pcsaft!D38*7/Componentes!P12)</f>
        <v>1.89558762483823</v>
      </c>
      <c r="G24" s="81"/>
      <c r="H24" s="81"/>
      <c r="I24" s="81"/>
      <c r="J24" s="81"/>
      <c r="K24" s="10" t="str">
        <f aca="false">IF(OR(G24="",H24=""),"",H24-G24)</f>
        <v/>
      </c>
      <c r="L24" s="10" t="str">
        <f aca="false">IF(OR(H24="",I24=""),"",I24-H24)</f>
        <v/>
      </c>
      <c r="M24" s="10" t="str">
        <f aca="false">IF(OR(I24="",J24=""),"",J24-I24)</f>
        <v/>
      </c>
      <c r="N24" s="10" t="str">
        <f aca="false">IF(OR(G24="",J24=""),"",J24-G24)</f>
        <v/>
      </c>
      <c r="O24" s="10" t="str">
        <f aca="false">IF(N24="","",K24/N24)</f>
        <v/>
      </c>
      <c r="P24" s="10" t="str">
        <f aca="false">IF(N24="","",L24/N24)</f>
        <v/>
      </c>
      <c r="Q24" s="10" t="str">
        <f aca="false">IF(N24="","",M24/N24)</f>
        <v/>
      </c>
      <c r="R24" s="82"/>
    </row>
    <row r="25" customFormat="false" ht="56.7" hidden="false" customHeight="true" outlineLevel="0" collapsed="false">
      <c r="A25" s="8" t="s">
        <v>231</v>
      </c>
      <c r="B25" s="8"/>
      <c r="C25" s="8" t="n">
        <v>4</v>
      </c>
      <c r="D25" s="80" t="n">
        <f aca="false">IF(predicciones_pcsaft!E39="","",predicciones_pcsaft!E39*7/$B$5)</f>
        <v>3.60040120361083</v>
      </c>
      <c r="E25" s="80" t="n">
        <f aca="false">IF(predicciones_pcsaft!C39="","",predicciones_pcsaft!C39*7/$B$4)</f>
        <v>2.72746513153718</v>
      </c>
      <c r="F25" s="80" t="n">
        <f aca="false">IF(predicciones_pcsaft!D39="","",predicciones_pcsaft!D39*7/Componentes!P12)</f>
        <v>1.0170195101702</v>
      </c>
      <c r="G25" s="81"/>
      <c r="H25" s="81"/>
      <c r="I25" s="81"/>
      <c r="J25" s="81"/>
      <c r="K25" s="10" t="str">
        <f aca="false">IF(OR(G25="",H25=""),"",H25-G25)</f>
        <v/>
      </c>
      <c r="L25" s="10" t="str">
        <f aca="false">IF(OR(H25="",I25=""),"",I25-H25)</f>
        <v/>
      </c>
      <c r="M25" s="10" t="str">
        <f aca="false">IF(OR(I25="",J25=""),"",J25-I25)</f>
        <v/>
      </c>
      <c r="N25" s="10" t="str">
        <f aca="false">IF(OR(G25="",J25=""),"",J25-G25)</f>
        <v/>
      </c>
      <c r="O25" s="10" t="str">
        <f aca="false">IF(N25="","",K25/N25)</f>
        <v/>
      </c>
      <c r="P25" s="10" t="str">
        <f aca="false">IF(N25="","",L25/N25)</f>
        <v/>
      </c>
      <c r="Q25" s="10" t="str">
        <f aca="false">IF(N25="","",M25/N25)</f>
        <v/>
      </c>
      <c r="R25" s="82"/>
    </row>
    <row r="26" customFormat="false" ht="56.7" hidden="false" customHeight="true" outlineLevel="0" collapsed="false">
      <c r="A26" s="8" t="s">
        <v>232</v>
      </c>
      <c r="B26" s="8"/>
      <c r="C26" s="8" t="n">
        <v>5</v>
      </c>
      <c r="D26" s="80" t="n">
        <f aca="false">IF(predicciones_pcsaft!E40="","",predicciones_pcsaft!E40*7/$B$5)</f>
        <v>3.71835506519559</v>
      </c>
      <c r="E26" s="80" t="n">
        <f aca="false">IF(predicciones_pcsaft!C40="","",predicciones_pcsaft!C40*7/$B$4)</f>
        <v>1.04520730597473</v>
      </c>
      <c r="F26" s="80" t="n">
        <f aca="false">IF(predicciones_pcsaft!D40="","",predicciones_pcsaft!D40*7/Componentes!P12)</f>
        <v>2.81432373696677</v>
      </c>
      <c r="G26" s="81"/>
      <c r="H26" s="81"/>
      <c r="I26" s="81"/>
      <c r="J26" s="81"/>
      <c r="K26" s="10" t="str">
        <f aca="false">IF(OR(G26="",H26=""),"",H26-G26)</f>
        <v/>
      </c>
      <c r="L26" s="10" t="str">
        <f aca="false">IF(OR(H26="",I26=""),"",I26-H26)</f>
        <v/>
      </c>
      <c r="M26" s="10" t="str">
        <f aca="false">IF(OR(I26="",J26=""),"",J26-I26)</f>
        <v/>
      </c>
      <c r="N26" s="10" t="str">
        <f aca="false">IF(OR(G26="",J26=""),"",J26-G26)</f>
        <v/>
      </c>
      <c r="O26" s="10" t="str">
        <f aca="false">IF(N26="","",K26/N26)</f>
        <v/>
      </c>
      <c r="P26" s="10" t="str">
        <f aca="false">IF(N26="","",L26/N26)</f>
        <v/>
      </c>
      <c r="Q26" s="10" t="str">
        <f aca="false">IF(N26="","",M26/N26)</f>
        <v/>
      </c>
      <c r="R26" s="82"/>
    </row>
    <row r="27" customFormat="false" ht="15" hidden="false" customHeight="false" outlineLevel="0" collapsed="false">
      <c r="E27" s="83"/>
      <c r="F27" s="83"/>
    </row>
    <row r="28" customFormat="false" ht="15" hidden="false" customHeight="true" outlineLevel="0" collapsed="false">
      <c r="A28" s="8"/>
      <c r="B28" s="7"/>
      <c r="C28" s="8"/>
      <c r="D28" s="84"/>
      <c r="E28" s="84"/>
      <c r="F28" s="84"/>
      <c r="G28" s="81"/>
      <c r="H28" s="81"/>
      <c r="I28" s="81"/>
      <c r="J28" s="81"/>
      <c r="K28" s="10"/>
      <c r="L28" s="10"/>
      <c r="M28" s="10"/>
      <c r="N28" s="10"/>
      <c r="O28" s="10"/>
      <c r="P28" s="10"/>
      <c r="Q28" s="10"/>
      <c r="R28" s="82"/>
    </row>
    <row r="29" customFormat="false" ht="15" hidden="false" customHeight="true" outlineLevel="0" collapsed="false">
      <c r="A29" s="8"/>
      <c r="B29" s="8"/>
      <c r="C29" s="8"/>
      <c r="D29" s="84"/>
      <c r="E29" s="84"/>
      <c r="F29" s="84"/>
      <c r="G29" s="81"/>
      <c r="H29" s="81"/>
      <c r="I29" s="81"/>
      <c r="J29" s="81"/>
      <c r="K29" s="10"/>
      <c r="L29" s="10"/>
      <c r="M29" s="10"/>
      <c r="N29" s="10"/>
      <c r="O29" s="10"/>
      <c r="P29" s="10"/>
      <c r="Q29" s="10"/>
      <c r="R29" s="82"/>
    </row>
    <row r="30" customFormat="false" ht="15" hidden="false" customHeight="true" outlineLevel="0" collapsed="false">
      <c r="A30" s="8"/>
      <c r="B30" s="8"/>
      <c r="C30" s="8"/>
      <c r="D30" s="84"/>
      <c r="E30" s="84"/>
      <c r="F30" s="84"/>
      <c r="G30" s="81"/>
      <c r="H30" s="81"/>
      <c r="I30" s="81"/>
      <c r="J30" s="81"/>
      <c r="K30" s="10"/>
      <c r="L30" s="10"/>
      <c r="M30" s="10"/>
      <c r="N30" s="10"/>
      <c r="O30" s="10"/>
      <c r="P30" s="10"/>
      <c r="Q30" s="10"/>
      <c r="R30" s="82"/>
    </row>
    <row r="31" customFormat="false" ht="15" hidden="false" customHeight="true" outlineLevel="0" collapsed="false">
      <c r="A31" s="8"/>
      <c r="B31" s="8"/>
      <c r="C31" s="8"/>
      <c r="D31" s="84"/>
      <c r="E31" s="84"/>
      <c r="F31" s="84"/>
      <c r="G31" s="81"/>
      <c r="H31" s="81"/>
      <c r="I31" s="81"/>
      <c r="J31" s="81"/>
      <c r="K31" s="10"/>
      <c r="L31" s="10"/>
      <c r="M31" s="10"/>
      <c r="N31" s="10"/>
      <c r="O31" s="10"/>
      <c r="P31" s="10"/>
      <c r="Q31" s="10"/>
      <c r="R31" s="82"/>
    </row>
    <row r="32" customFormat="false" ht="15" hidden="false" customHeight="true" outlineLevel="0" collapsed="false">
      <c r="A32" s="8"/>
      <c r="B32" s="8"/>
      <c r="C32" s="8"/>
      <c r="D32" s="84"/>
      <c r="E32" s="84"/>
      <c r="F32" s="84"/>
      <c r="G32" s="81"/>
      <c r="H32" s="81"/>
      <c r="I32" s="81"/>
      <c r="J32" s="81"/>
      <c r="K32" s="10"/>
      <c r="L32" s="10"/>
      <c r="M32" s="10"/>
      <c r="N32" s="10"/>
      <c r="O32" s="10"/>
      <c r="P32" s="10"/>
      <c r="Q32" s="10"/>
      <c r="R32" s="82"/>
    </row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67" activeCellId="0" sqref="A6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"/>
    <col collapsed="false" customWidth="true" hidden="false" outlineLevel="0" max="3" min="3" style="1" width="5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9" min="8" style="1" width="11"/>
    <col collapsed="false" customWidth="true" hidden="false" outlineLevel="0" max="10" min="10" style="1" width="9"/>
    <col collapsed="false" customWidth="true" hidden="false" outlineLevel="0" max="11" min="11" style="1" width="12"/>
    <col collapsed="false" customWidth="true" hidden="false" outlineLevel="0" max="12" min="12" style="1" width="22"/>
  </cols>
  <sheetData>
    <row r="1" customFormat="false" ht="17.25" hidden="false" customHeight="true" outlineLevel="0" collapsed="false">
      <c r="A1" s="85" t="s">
        <v>233</v>
      </c>
      <c r="H1" s="86" t="s">
        <v>234</v>
      </c>
      <c r="I1" s="87" t="n">
        <v>200</v>
      </c>
      <c r="J1" s="88" t="s">
        <v>235</v>
      </c>
      <c r="K1" s="89" t="s">
        <v>236</v>
      </c>
    </row>
    <row r="2" customFormat="false" ht="15" hidden="false" customHeight="true" outlineLevel="0" collapsed="false">
      <c r="A2" s="70" t="s">
        <v>237</v>
      </c>
      <c r="I2" s="90" t="s">
        <v>238</v>
      </c>
      <c r="J2" s="91" t="s">
        <v>239</v>
      </c>
    </row>
    <row r="3" customFormat="false" ht="23.25" hidden="false" customHeight="true" outlineLevel="0" collapsed="false">
      <c r="A3" s="79" t="s">
        <v>240</v>
      </c>
      <c r="B3" s="79" t="s">
        <v>241</v>
      </c>
      <c r="C3" s="79" t="s">
        <v>242</v>
      </c>
      <c r="D3" s="79" t="s">
        <v>243</v>
      </c>
      <c r="E3" s="79" t="s">
        <v>244</v>
      </c>
      <c r="F3" s="79" t="s">
        <v>245</v>
      </c>
      <c r="G3" s="79" t="s">
        <v>246</v>
      </c>
      <c r="H3" s="79" t="s">
        <v>247</v>
      </c>
      <c r="I3" s="79" t="s">
        <v>213</v>
      </c>
      <c r="J3" s="79" t="s">
        <v>248</v>
      </c>
      <c r="K3" s="79" t="s">
        <v>249</v>
      </c>
      <c r="L3" s="79" t="s">
        <v>45</v>
      </c>
    </row>
    <row r="4" customFormat="false" ht="15" hidden="false" customHeight="true" outlineLevel="0" collapsed="false">
      <c r="A4" s="92" t="s">
        <v>218</v>
      </c>
      <c r="B4" s="93" t="s">
        <v>250</v>
      </c>
      <c r="C4" s="94" t="n">
        <v>1</v>
      </c>
      <c r="D4" s="95" t="s">
        <v>251</v>
      </c>
      <c r="E4" s="96"/>
      <c r="F4" s="96"/>
      <c r="G4" s="96"/>
      <c r="H4" s="97" t="str">
        <f aca="false">IF(OR(E4="",F4=""),"",F4-E4)</f>
        <v/>
      </c>
      <c r="I4" s="97" t="str">
        <f aca="false">IF(OR(F4="",G4=""),"",G4-F4)</f>
        <v/>
      </c>
      <c r="J4" s="98" t="str">
        <f aca="false">IF(OR(H4="",I4=""),"",(H4+I4)/H4)</f>
        <v/>
      </c>
      <c r="K4" s="99"/>
      <c r="L4" s="100"/>
    </row>
    <row r="5" customFormat="false" ht="15" hidden="false" customHeight="true" outlineLevel="0" collapsed="false">
      <c r="A5" s="101"/>
      <c r="B5" s="101"/>
      <c r="C5" s="101" t="n">
        <v>2</v>
      </c>
      <c r="D5" s="102" t="s">
        <v>252</v>
      </c>
      <c r="E5" s="81"/>
      <c r="F5" s="81"/>
      <c r="G5" s="81"/>
      <c r="H5" s="10" t="str">
        <f aca="false">IF(OR(E5="",F5=""),"",F5-E5)</f>
        <v/>
      </c>
      <c r="I5" s="10" t="str">
        <f aca="false">IF(OR(F5="",G5=""),"",G5-F5)</f>
        <v/>
      </c>
      <c r="J5" s="103" t="str">
        <f aca="false">IF(OR(H5="",I5=""),"",(H5+I5)/H5)</f>
        <v/>
      </c>
      <c r="K5" s="104"/>
      <c r="L5" s="82"/>
    </row>
    <row r="6" customFormat="false" ht="15" hidden="false" customHeight="true" outlineLevel="0" collapsed="false">
      <c r="A6" s="105"/>
      <c r="B6" s="106" t="s">
        <v>253</v>
      </c>
      <c r="C6" s="105" t="n">
        <v>1</v>
      </c>
      <c r="D6" s="102" t="s">
        <v>254</v>
      </c>
      <c r="E6" s="81"/>
      <c r="F6" s="81"/>
      <c r="G6" s="81"/>
      <c r="H6" s="10" t="str">
        <f aca="false">IF(OR(E6="",F6=""),"",F6-E6)</f>
        <v/>
      </c>
      <c r="I6" s="10" t="str">
        <f aca="false">IF(OR(F6="",G6=""),"",G6-F6)</f>
        <v/>
      </c>
      <c r="J6" s="103" t="str">
        <f aca="false">IF(OR(H6="",I6=""),"",(H6+I6)/H6)</f>
        <v/>
      </c>
      <c r="K6" s="107"/>
      <c r="L6" s="82"/>
    </row>
    <row r="7" customFormat="false" ht="15" hidden="false" customHeight="true" outlineLevel="0" collapsed="false">
      <c r="A7" s="105"/>
      <c r="B7" s="105"/>
      <c r="C7" s="105" t="n">
        <v>2</v>
      </c>
      <c r="D7" s="102" t="s">
        <v>255</v>
      </c>
      <c r="E7" s="81"/>
      <c r="F7" s="81"/>
      <c r="G7" s="81"/>
      <c r="H7" s="10" t="str">
        <f aca="false">IF(OR(E7="",F7=""),"",F7-E7)</f>
        <v/>
      </c>
      <c r="I7" s="10" t="str">
        <f aca="false">IF(OR(F7="",G7=""),"",G7-F7)</f>
        <v/>
      </c>
      <c r="J7" s="103" t="str">
        <f aca="false">IF(OR(H7="",I7=""),"",(H7+I7)/H7)</f>
        <v/>
      </c>
      <c r="K7" s="104"/>
      <c r="L7" s="82"/>
    </row>
    <row r="8" customFormat="false" ht="15" hidden="false" customHeight="true" outlineLevel="0" collapsed="false">
      <c r="A8" s="92" t="s">
        <v>219</v>
      </c>
      <c r="B8" s="93" t="s">
        <v>250</v>
      </c>
      <c r="C8" s="94" t="n">
        <v>1</v>
      </c>
      <c r="D8" s="95" t="s">
        <v>256</v>
      </c>
      <c r="E8" s="96"/>
      <c r="F8" s="96"/>
      <c r="G8" s="96"/>
      <c r="H8" s="97" t="str">
        <f aca="false">IF(OR(E8="",F8=""),"",F8-E8)</f>
        <v/>
      </c>
      <c r="I8" s="97" t="str">
        <f aca="false">IF(OR(F8="",G8=""),"",G8-F8)</f>
        <v/>
      </c>
      <c r="J8" s="98" t="str">
        <f aca="false">IF(OR(H8="",I8=""),"",(H8+I8)/H8)</f>
        <v/>
      </c>
      <c r="K8" s="99"/>
      <c r="L8" s="100"/>
    </row>
    <row r="9" customFormat="false" ht="15" hidden="false" customHeight="true" outlineLevel="0" collapsed="false">
      <c r="A9" s="101"/>
      <c r="B9" s="101"/>
      <c r="C9" s="101" t="n">
        <v>2</v>
      </c>
      <c r="D9" s="102" t="s">
        <v>257</v>
      </c>
      <c r="E9" s="81"/>
      <c r="F9" s="81"/>
      <c r="G9" s="81"/>
      <c r="H9" s="10" t="str">
        <f aca="false">IF(OR(E9="",F9=""),"",F9-E9)</f>
        <v/>
      </c>
      <c r="I9" s="10" t="str">
        <f aca="false">IF(OR(F9="",G9=""),"",G9-F9)</f>
        <v/>
      </c>
      <c r="J9" s="103" t="str">
        <f aca="false">IF(OR(H9="",I9=""),"",(H9+I9)/H9)</f>
        <v/>
      </c>
      <c r="K9" s="104"/>
      <c r="L9" s="82"/>
    </row>
    <row r="10" customFormat="false" ht="15" hidden="false" customHeight="true" outlineLevel="0" collapsed="false">
      <c r="A10" s="105"/>
      <c r="B10" s="106" t="s">
        <v>253</v>
      </c>
      <c r="C10" s="105" t="n">
        <v>1</v>
      </c>
      <c r="D10" s="102" t="s">
        <v>258</v>
      </c>
      <c r="E10" s="81"/>
      <c r="F10" s="81"/>
      <c r="G10" s="81"/>
      <c r="H10" s="10" t="str">
        <f aca="false">IF(OR(E10="",F10=""),"",F10-E10)</f>
        <v/>
      </c>
      <c r="I10" s="10" t="str">
        <f aca="false">IF(OR(F10="",G10=""),"",G10-F10)</f>
        <v/>
      </c>
      <c r="J10" s="103" t="str">
        <f aca="false">IF(OR(H10="",I10=""),"",(H10+I10)/H10)</f>
        <v/>
      </c>
      <c r="K10" s="107"/>
      <c r="L10" s="82"/>
    </row>
    <row r="11" customFormat="false" ht="15" hidden="false" customHeight="true" outlineLevel="0" collapsed="false">
      <c r="A11" s="105"/>
      <c r="B11" s="105"/>
      <c r="C11" s="105" t="n">
        <v>2</v>
      </c>
      <c r="D11" s="102" t="s">
        <v>259</v>
      </c>
      <c r="E11" s="81"/>
      <c r="F11" s="81"/>
      <c r="G11" s="81"/>
      <c r="H11" s="10" t="str">
        <f aca="false">IF(OR(E11="",F11=""),"",F11-E11)</f>
        <v/>
      </c>
      <c r="I11" s="10" t="str">
        <f aca="false">IF(OR(F11="",G11=""),"",G11-F11)</f>
        <v/>
      </c>
      <c r="J11" s="103" t="str">
        <f aca="false">IF(OR(H11="",I11=""),"",(H11+I11)/H11)</f>
        <v/>
      </c>
      <c r="K11" s="104"/>
      <c r="L11" s="82"/>
    </row>
    <row r="12" customFormat="false" ht="15" hidden="false" customHeight="true" outlineLevel="0" collapsed="false">
      <c r="A12" s="92" t="s">
        <v>220</v>
      </c>
      <c r="B12" s="93" t="s">
        <v>250</v>
      </c>
      <c r="C12" s="94" t="n">
        <v>1</v>
      </c>
      <c r="D12" s="95" t="s">
        <v>260</v>
      </c>
      <c r="E12" s="96"/>
      <c r="F12" s="96"/>
      <c r="G12" s="96"/>
      <c r="H12" s="97" t="str">
        <f aca="false">IF(OR(E12="",F12=""),"",F12-E12)</f>
        <v/>
      </c>
      <c r="I12" s="97" t="str">
        <f aca="false">IF(OR(F12="",G12=""),"",G12-F12)</f>
        <v/>
      </c>
      <c r="J12" s="98" t="str">
        <f aca="false">IF(OR(H12="",I12=""),"",(H12+I12)/H12)</f>
        <v/>
      </c>
      <c r="K12" s="99"/>
      <c r="L12" s="100"/>
    </row>
    <row r="13" customFormat="false" ht="15" hidden="false" customHeight="true" outlineLevel="0" collapsed="false">
      <c r="A13" s="101"/>
      <c r="B13" s="101"/>
      <c r="C13" s="101" t="n">
        <v>2</v>
      </c>
      <c r="D13" s="102" t="s">
        <v>261</v>
      </c>
      <c r="E13" s="81"/>
      <c r="F13" s="81"/>
      <c r="G13" s="81"/>
      <c r="H13" s="10" t="str">
        <f aca="false">IF(OR(E13="",F13=""),"",F13-E13)</f>
        <v/>
      </c>
      <c r="I13" s="10" t="str">
        <f aca="false">IF(OR(F13="",G13=""),"",G13-F13)</f>
        <v/>
      </c>
      <c r="J13" s="103" t="str">
        <f aca="false">IF(OR(H13="",I13=""),"",(H13+I13)/H13)</f>
        <v/>
      </c>
      <c r="K13" s="104"/>
      <c r="L13" s="82"/>
    </row>
    <row r="14" customFormat="false" ht="15" hidden="false" customHeight="true" outlineLevel="0" collapsed="false">
      <c r="A14" s="105"/>
      <c r="B14" s="106" t="s">
        <v>253</v>
      </c>
      <c r="C14" s="105" t="n">
        <v>1</v>
      </c>
      <c r="D14" s="102" t="s">
        <v>262</v>
      </c>
      <c r="E14" s="81"/>
      <c r="F14" s="81"/>
      <c r="G14" s="81"/>
      <c r="H14" s="10" t="str">
        <f aca="false">IF(OR(E14="",F14=""),"",F14-E14)</f>
        <v/>
      </c>
      <c r="I14" s="10" t="str">
        <f aca="false">IF(OR(F14="",G14=""),"",G14-F14)</f>
        <v/>
      </c>
      <c r="J14" s="103" t="str">
        <f aca="false">IF(OR(H14="",I14=""),"",(H14+I14)/H14)</f>
        <v/>
      </c>
      <c r="K14" s="107"/>
      <c r="L14" s="82"/>
    </row>
    <row r="15" customFormat="false" ht="15" hidden="false" customHeight="true" outlineLevel="0" collapsed="false">
      <c r="A15" s="105"/>
      <c r="B15" s="105"/>
      <c r="C15" s="105" t="n">
        <v>2</v>
      </c>
      <c r="D15" s="102" t="s">
        <v>263</v>
      </c>
      <c r="E15" s="81"/>
      <c r="F15" s="81"/>
      <c r="G15" s="81"/>
      <c r="H15" s="10" t="str">
        <f aca="false">IF(OR(E15="",F15=""),"",F15-E15)</f>
        <v/>
      </c>
      <c r="I15" s="10" t="str">
        <f aca="false">IF(OR(F15="",G15=""),"",G15-F15)</f>
        <v/>
      </c>
      <c r="J15" s="103" t="str">
        <f aca="false">IF(OR(H15="",I15=""),"",(H15+I15)/H15)</f>
        <v/>
      </c>
      <c r="K15" s="104"/>
      <c r="L15" s="82"/>
    </row>
    <row r="16" customFormat="false" ht="15" hidden="false" customHeight="true" outlineLevel="0" collapsed="false">
      <c r="A16" s="92" t="s">
        <v>221</v>
      </c>
      <c r="B16" s="93" t="s">
        <v>250</v>
      </c>
      <c r="C16" s="94" t="n">
        <v>1</v>
      </c>
      <c r="D16" s="95" t="s">
        <v>264</v>
      </c>
      <c r="E16" s="96"/>
      <c r="F16" s="96"/>
      <c r="G16" s="96"/>
      <c r="H16" s="97" t="str">
        <f aca="false">IF(OR(E16="",F16=""),"",F16-E16)</f>
        <v/>
      </c>
      <c r="I16" s="97" t="str">
        <f aca="false">IF(OR(F16="",G16=""),"",G16-F16)</f>
        <v/>
      </c>
      <c r="J16" s="98" t="str">
        <f aca="false">IF(OR(H16="",I16=""),"",(H16+I16)/H16)</f>
        <v/>
      </c>
      <c r="K16" s="99"/>
      <c r="L16" s="100"/>
    </row>
    <row r="17" customFormat="false" ht="15" hidden="false" customHeight="true" outlineLevel="0" collapsed="false">
      <c r="A17" s="101"/>
      <c r="B17" s="101"/>
      <c r="C17" s="101" t="n">
        <v>2</v>
      </c>
      <c r="D17" s="102" t="s">
        <v>265</v>
      </c>
      <c r="E17" s="81"/>
      <c r="F17" s="81"/>
      <c r="G17" s="81"/>
      <c r="H17" s="10" t="str">
        <f aca="false">IF(OR(E17="",F17=""),"",F17-E17)</f>
        <v/>
      </c>
      <c r="I17" s="10" t="str">
        <f aca="false">IF(OR(F17="",G17=""),"",G17-F17)</f>
        <v/>
      </c>
      <c r="J17" s="103" t="str">
        <f aca="false">IF(OR(H17="",I17=""),"",(H17+I17)/H17)</f>
        <v/>
      </c>
      <c r="K17" s="104"/>
      <c r="L17" s="82"/>
    </row>
    <row r="18" customFormat="false" ht="15" hidden="false" customHeight="true" outlineLevel="0" collapsed="false">
      <c r="A18" s="105"/>
      <c r="B18" s="106" t="s">
        <v>253</v>
      </c>
      <c r="C18" s="105" t="n">
        <v>1</v>
      </c>
      <c r="D18" s="102" t="s">
        <v>266</v>
      </c>
      <c r="E18" s="81"/>
      <c r="F18" s="81"/>
      <c r="G18" s="81"/>
      <c r="H18" s="10" t="str">
        <f aca="false">IF(OR(E18="",F18=""),"",F18-E18)</f>
        <v/>
      </c>
      <c r="I18" s="10" t="str">
        <f aca="false">IF(OR(F18="",G18=""),"",G18-F18)</f>
        <v/>
      </c>
      <c r="J18" s="103" t="str">
        <f aca="false">IF(OR(H18="",I18=""),"",(H18+I18)/H18)</f>
        <v/>
      </c>
      <c r="K18" s="107"/>
      <c r="L18" s="82"/>
    </row>
    <row r="19" customFormat="false" ht="15" hidden="false" customHeight="true" outlineLevel="0" collapsed="false">
      <c r="A19" s="105"/>
      <c r="B19" s="105"/>
      <c r="C19" s="105" t="n">
        <v>2</v>
      </c>
      <c r="D19" s="102" t="s">
        <v>267</v>
      </c>
      <c r="E19" s="81"/>
      <c r="F19" s="81"/>
      <c r="G19" s="81"/>
      <c r="H19" s="10" t="str">
        <f aca="false">IF(OR(E19="",F19=""),"",F19-E19)</f>
        <v/>
      </c>
      <c r="I19" s="10" t="str">
        <f aca="false">IF(OR(F19="",G19=""),"",G19-F19)</f>
        <v/>
      </c>
      <c r="J19" s="103" t="str">
        <f aca="false">IF(OR(H19="",I19=""),"",(H19+I19)/H19)</f>
        <v/>
      </c>
      <c r="K19" s="104"/>
      <c r="L19" s="82"/>
    </row>
    <row r="20" customFormat="false" ht="15" hidden="false" customHeight="true" outlineLevel="0" collapsed="false">
      <c r="A20" s="92" t="s">
        <v>222</v>
      </c>
      <c r="B20" s="93" t="s">
        <v>250</v>
      </c>
      <c r="C20" s="94" t="n">
        <v>1</v>
      </c>
      <c r="D20" s="95" t="s">
        <v>268</v>
      </c>
      <c r="E20" s="96"/>
      <c r="F20" s="96"/>
      <c r="G20" s="96"/>
      <c r="H20" s="97" t="str">
        <f aca="false">IF(OR(E20="",F20=""),"",F20-E20)</f>
        <v/>
      </c>
      <c r="I20" s="97" t="str">
        <f aca="false">IF(OR(F20="",G20=""),"",G20-F20)</f>
        <v/>
      </c>
      <c r="J20" s="98" t="str">
        <f aca="false">IF(OR(H20="",I20=""),"",(H20+I20)/H20)</f>
        <v/>
      </c>
      <c r="K20" s="99"/>
      <c r="L20" s="100"/>
    </row>
    <row r="21" customFormat="false" ht="15" hidden="false" customHeight="true" outlineLevel="0" collapsed="false">
      <c r="A21" s="101"/>
      <c r="B21" s="101"/>
      <c r="C21" s="101" t="n">
        <v>2</v>
      </c>
      <c r="D21" s="102" t="s">
        <v>269</v>
      </c>
      <c r="E21" s="81"/>
      <c r="F21" s="81"/>
      <c r="G21" s="81"/>
      <c r="H21" s="10" t="str">
        <f aca="false">IF(OR(E21="",F21=""),"",F21-E21)</f>
        <v/>
      </c>
      <c r="I21" s="10" t="str">
        <f aca="false">IF(OR(F21="",G21=""),"",G21-F21)</f>
        <v/>
      </c>
      <c r="J21" s="103" t="str">
        <f aca="false">IF(OR(H21="",I21=""),"",(H21+I21)/H21)</f>
        <v/>
      </c>
      <c r="K21" s="104"/>
      <c r="L21" s="82"/>
    </row>
    <row r="22" customFormat="false" ht="15" hidden="false" customHeight="true" outlineLevel="0" collapsed="false">
      <c r="A22" s="105"/>
      <c r="B22" s="106" t="s">
        <v>253</v>
      </c>
      <c r="C22" s="105" t="n">
        <v>1</v>
      </c>
      <c r="D22" s="102" t="s">
        <v>270</v>
      </c>
      <c r="E22" s="81"/>
      <c r="F22" s="81"/>
      <c r="G22" s="81"/>
      <c r="H22" s="10" t="str">
        <f aca="false">IF(OR(E22="",F22=""),"",F22-E22)</f>
        <v/>
      </c>
      <c r="I22" s="10" t="str">
        <f aca="false">IF(OR(F22="",G22=""),"",G22-F22)</f>
        <v/>
      </c>
      <c r="J22" s="103" t="str">
        <f aca="false">IF(OR(H22="",I22=""),"",(H22+I22)/H22)</f>
        <v/>
      </c>
      <c r="K22" s="107"/>
      <c r="L22" s="82"/>
    </row>
    <row r="23" customFormat="false" ht="15" hidden="false" customHeight="true" outlineLevel="0" collapsed="false">
      <c r="A23" s="105"/>
      <c r="B23" s="105"/>
      <c r="C23" s="105" t="n">
        <v>2</v>
      </c>
      <c r="D23" s="102" t="s">
        <v>271</v>
      </c>
      <c r="E23" s="81"/>
      <c r="F23" s="81"/>
      <c r="G23" s="81"/>
      <c r="H23" s="10" t="str">
        <f aca="false">IF(OR(E23="",F23=""),"",F23-E23)</f>
        <v/>
      </c>
      <c r="I23" s="10" t="str">
        <f aca="false">IF(OR(F23="",G23=""),"",G23-F23)</f>
        <v/>
      </c>
      <c r="J23" s="103" t="str">
        <f aca="false">IF(OR(H23="",I23=""),"",(H23+I23)/H23)</f>
        <v/>
      </c>
      <c r="K23" s="104"/>
      <c r="L23" s="82"/>
    </row>
    <row r="24" customFormat="false" ht="17.25" hidden="false" customHeight="true" outlineLevel="0" collapsed="false">
      <c r="A24" s="85" t="s">
        <v>272</v>
      </c>
      <c r="H24" s="86" t="s">
        <v>234</v>
      </c>
      <c r="I24" s="87" t="n">
        <v>200</v>
      </c>
      <c r="J24" s="88" t="s">
        <v>235</v>
      </c>
      <c r="K24" s="89" t="s">
        <v>236</v>
      </c>
    </row>
    <row r="25" customFormat="false" ht="15" hidden="false" customHeight="true" outlineLevel="0" collapsed="false">
      <c r="A25" s="70" t="s">
        <v>273</v>
      </c>
      <c r="I25" s="90" t="s">
        <v>238</v>
      </c>
      <c r="J25" s="91" t="s">
        <v>239</v>
      </c>
    </row>
    <row r="26" customFormat="false" ht="23.25" hidden="false" customHeight="true" outlineLevel="0" collapsed="false">
      <c r="A26" s="79" t="s">
        <v>240</v>
      </c>
      <c r="B26" s="79" t="s">
        <v>241</v>
      </c>
      <c r="C26" s="79" t="s">
        <v>242</v>
      </c>
      <c r="D26" s="79" t="s">
        <v>243</v>
      </c>
      <c r="E26" s="79" t="s">
        <v>244</v>
      </c>
      <c r="F26" s="79" t="s">
        <v>245</v>
      </c>
      <c r="G26" s="79" t="s">
        <v>246</v>
      </c>
      <c r="H26" s="79" t="s">
        <v>247</v>
      </c>
      <c r="I26" s="79" t="s">
        <v>213</v>
      </c>
      <c r="J26" s="79" t="s">
        <v>248</v>
      </c>
      <c r="K26" s="79" t="s">
        <v>249</v>
      </c>
      <c r="L26" s="79" t="s">
        <v>45</v>
      </c>
    </row>
    <row r="27" customFormat="false" ht="15" hidden="false" customHeight="true" outlineLevel="0" collapsed="false">
      <c r="A27" s="92" t="s">
        <v>223</v>
      </c>
      <c r="B27" s="93" t="s">
        <v>250</v>
      </c>
      <c r="C27" s="94" t="n">
        <v>1</v>
      </c>
      <c r="D27" s="95" t="s">
        <v>274</v>
      </c>
      <c r="E27" s="96"/>
      <c r="F27" s="96"/>
      <c r="G27" s="96"/>
      <c r="H27" s="97" t="str">
        <f aca="false">IF(OR(E27="",F27=""),"",F27-E27)</f>
        <v/>
      </c>
      <c r="I27" s="97" t="str">
        <f aca="false">IF(OR(F27="",G27=""),"",G27-F27)</f>
        <v/>
      </c>
      <c r="J27" s="98" t="str">
        <f aca="false">IF(OR(H27="",I27=""),"",(H27+I27)/H27)</f>
        <v/>
      </c>
      <c r="K27" s="99"/>
      <c r="L27" s="100"/>
    </row>
    <row r="28" customFormat="false" ht="15" hidden="false" customHeight="true" outlineLevel="0" collapsed="false">
      <c r="A28" s="101"/>
      <c r="B28" s="101"/>
      <c r="C28" s="101" t="n">
        <v>2</v>
      </c>
      <c r="D28" s="102" t="s">
        <v>275</v>
      </c>
      <c r="E28" s="81"/>
      <c r="F28" s="81"/>
      <c r="G28" s="81"/>
      <c r="H28" s="10" t="str">
        <f aca="false">IF(OR(E28="",F28=""),"",F28-E28)</f>
        <v/>
      </c>
      <c r="I28" s="10" t="str">
        <f aca="false">IF(OR(F28="",G28=""),"",G28-F28)</f>
        <v/>
      </c>
      <c r="J28" s="103" t="str">
        <f aca="false">IF(OR(H28="",I28=""),"",(H28+I28)/H28)</f>
        <v/>
      </c>
      <c r="K28" s="104"/>
      <c r="L28" s="82"/>
    </row>
    <row r="29" customFormat="false" ht="15" hidden="false" customHeight="true" outlineLevel="0" collapsed="false">
      <c r="A29" s="105"/>
      <c r="B29" s="106" t="s">
        <v>253</v>
      </c>
      <c r="C29" s="105" t="n">
        <v>1</v>
      </c>
      <c r="D29" s="102" t="s">
        <v>276</v>
      </c>
      <c r="E29" s="81"/>
      <c r="F29" s="81"/>
      <c r="G29" s="81"/>
      <c r="H29" s="10" t="str">
        <f aca="false">IF(OR(E29="",F29=""),"",F29-E29)</f>
        <v/>
      </c>
      <c r="I29" s="10" t="str">
        <f aca="false">IF(OR(F29="",G29=""),"",G29-F29)</f>
        <v/>
      </c>
      <c r="J29" s="103" t="str">
        <f aca="false">IF(OR(H29="",I29=""),"",(H29+I29)/H29)</f>
        <v/>
      </c>
      <c r="K29" s="107"/>
      <c r="L29" s="82"/>
    </row>
    <row r="30" customFormat="false" ht="15" hidden="false" customHeight="true" outlineLevel="0" collapsed="false">
      <c r="A30" s="105"/>
      <c r="B30" s="105"/>
      <c r="C30" s="105" t="n">
        <v>2</v>
      </c>
      <c r="D30" s="102" t="s">
        <v>277</v>
      </c>
      <c r="E30" s="81"/>
      <c r="F30" s="81"/>
      <c r="G30" s="81"/>
      <c r="H30" s="10" t="str">
        <f aca="false">IF(OR(E30="",F30=""),"",F30-E30)</f>
        <v/>
      </c>
      <c r="I30" s="10" t="str">
        <f aca="false">IF(OR(F30="",G30=""),"",G30-F30)</f>
        <v/>
      </c>
      <c r="J30" s="103" t="str">
        <f aca="false">IF(OR(H30="",I30=""),"",(H30+I30)/H30)</f>
        <v/>
      </c>
      <c r="K30" s="104"/>
      <c r="L30" s="82"/>
    </row>
    <row r="31" customFormat="false" ht="15" hidden="false" customHeight="true" outlineLevel="0" collapsed="false">
      <c r="A31" s="92" t="s">
        <v>224</v>
      </c>
      <c r="B31" s="93" t="s">
        <v>250</v>
      </c>
      <c r="C31" s="94" t="n">
        <v>1</v>
      </c>
      <c r="D31" s="95" t="s">
        <v>278</v>
      </c>
      <c r="E31" s="96"/>
      <c r="F31" s="96"/>
      <c r="G31" s="96"/>
      <c r="H31" s="97" t="str">
        <f aca="false">IF(OR(E31="",F31=""),"",F31-E31)</f>
        <v/>
      </c>
      <c r="I31" s="97" t="str">
        <f aca="false">IF(OR(F31="",G31=""),"",G31-F31)</f>
        <v/>
      </c>
      <c r="J31" s="98" t="str">
        <f aca="false">IF(OR(H31="",I31=""),"",(H31+I31)/H31)</f>
        <v/>
      </c>
      <c r="K31" s="99"/>
      <c r="L31" s="100"/>
    </row>
    <row r="32" customFormat="false" ht="15" hidden="false" customHeight="true" outlineLevel="0" collapsed="false">
      <c r="A32" s="101"/>
      <c r="B32" s="101"/>
      <c r="C32" s="101" t="n">
        <v>2</v>
      </c>
      <c r="D32" s="102" t="s">
        <v>279</v>
      </c>
      <c r="E32" s="81"/>
      <c r="F32" s="81"/>
      <c r="G32" s="81"/>
      <c r="H32" s="10" t="str">
        <f aca="false">IF(OR(E32="",F32=""),"",F32-E32)</f>
        <v/>
      </c>
      <c r="I32" s="10" t="str">
        <f aca="false">IF(OR(F32="",G32=""),"",G32-F32)</f>
        <v/>
      </c>
      <c r="J32" s="103" t="str">
        <f aca="false">IF(OR(H32="",I32=""),"",(H32+I32)/H32)</f>
        <v/>
      </c>
      <c r="K32" s="104"/>
      <c r="L32" s="82"/>
    </row>
    <row r="33" customFormat="false" ht="15" hidden="false" customHeight="true" outlineLevel="0" collapsed="false">
      <c r="A33" s="105"/>
      <c r="B33" s="106" t="s">
        <v>253</v>
      </c>
      <c r="C33" s="105" t="n">
        <v>1</v>
      </c>
      <c r="D33" s="102" t="s">
        <v>280</v>
      </c>
      <c r="E33" s="81"/>
      <c r="F33" s="81"/>
      <c r="G33" s="81"/>
      <c r="H33" s="10" t="str">
        <f aca="false">IF(OR(E33="",F33=""),"",F33-E33)</f>
        <v/>
      </c>
      <c r="I33" s="10" t="str">
        <f aca="false">IF(OR(F33="",G33=""),"",G33-F33)</f>
        <v/>
      </c>
      <c r="J33" s="103" t="str">
        <f aca="false">IF(OR(H33="",I33=""),"",(H33+I33)/H33)</f>
        <v/>
      </c>
      <c r="K33" s="107"/>
      <c r="L33" s="82"/>
    </row>
    <row r="34" customFormat="false" ht="15" hidden="false" customHeight="true" outlineLevel="0" collapsed="false">
      <c r="A34" s="105"/>
      <c r="B34" s="105"/>
      <c r="C34" s="105" t="n">
        <v>2</v>
      </c>
      <c r="D34" s="102" t="s">
        <v>281</v>
      </c>
      <c r="E34" s="81"/>
      <c r="F34" s="81"/>
      <c r="G34" s="81"/>
      <c r="H34" s="10" t="str">
        <f aca="false">IF(OR(E34="",F34=""),"",F34-E34)</f>
        <v/>
      </c>
      <c r="I34" s="10" t="str">
        <f aca="false">IF(OR(F34="",G34=""),"",G34-F34)</f>
        <v/>
      </c>
      <c r="J34" s="103" t="str">
        <f aca="false">IF(OR(H34="",I34=""),"",(H34+I34)/H34)</f>
        <v/>
      </c>
      <c r="K34" s="104"/>
      <c r="L34" s="82"/>
    </row>
    <row r="35" customFormat="false" ht="15" hidden="false" customHeight="true" outlineLevel="0" collapsed="false">
      <c r="A35" s="92" t="s">
        <v>225</v>
      </c>
      <c r="B35" s="93" t="s">
        <v>250</v>
      </c>
      <c r="C35" s="94" t="n">
        <v>1</v>
      </c>
      <c r="D35" s="95" t="s">
        <v>282</v>
      </c>
      <c r="E35" s="96"/>
      <c r="F35" s="96"/>
      <c r="G35" s="96"/>
      <c r="H35" s="97" t="str">
        <f aca="false">IF(OR(E35="",F35=""),"",F35-E35)</f>
        <v/>
      </c>
      <c r="I35" s="97" t="str">
        <f aca="false">IF(OR(F35="",G35=""),"",G35-F35)</f>
        <v/>
      </c>
      <c r="J35" s="98" t="str">
        <f aca="false">IF(OR(H35="",I35=""),"",(H35+I35)/H35)</f>
        <v/>
      </c>
      <c r="K35" s="99"/>
      <c r="L35" s="100"/>
    </row>
    <row r="36" customFormat="false" ht="15" hidden="false" customHeight="true" outlineLevel="0" collapsed="false">
      <c r="A36" s="101"/>
      <c r="B36" s="101"/>
      <c r="C36" s="101" t="n">
        <v>2</v>
      </c>
      <c r="D36" s="102" t="s">
        <v>283</v>
      </c>
      <c r="E36" s="81"/>
      <c r="F36" s="81"/>
      <c r="G36" s="81"/>
      <c r="H36" s="10" t="str">
        <f aca="false">IF(OR(E36="",F36=""),"",F36-E36)</f>
        <v/>
      </c>
      <c r="I36" s="10" t="str">
        <f aca="false">IF(OR(F36="",G36=""),"",G36-F36)</f>
        <v/>
      </c>
      <c r="J36" s="103" t="str">
        <f aca="false">IF(OR(H36="",I36=""),"",(H36+I36)/H36)</f>
        <v/>
      </c>
      <c r="K36" s="104"/>
      <c r="L36" s="82"/>
    </row>
    <row r="37" customFormat="false" ht="15" hidden="false" customHeight="true" outlineLevel="0" collapsed="false">
      <c r="A37" s="105"/>
      <c r="B37" s="106" t="s">
        <v>253</v>
      </c>
      <c r="C37" s="105" t="n">
        <v>1</v>
      </c>
      <c r="D37" s="102" t="s">
        <v>284</v>
      </c>
      <c r="E37" s="81"/>
      <c r="F37" s="81"/>
      <c r="G37" s="81"/>
      <c r="H37" s="10" t="str">
        <f aca="false">IF(OR(E37="",F37=""),"",F37-E37)</f>
        <v/>
      </c>
      <c r="I37" s="10" t="str">
        <f aca="false">IF(OR(F37="",G37=""),"",G37-F37)</f>
        <v/>
      </c>
      <c r="J37" s="103" t="str">
        <f aca="false">IF(OR(H37="",I37=""),"",(H37+I37)/H37)</f>
        <v/>
      </c>
      <c r="K37" s="107"/>
      <c r="L37" s="82"/>
    </row>
    <row r="38" customFormat="false" ht="15" hidden="false" customHeight="true" outlineLevel="0" collapsed="false">
      <c r="A38" s="105"/>
      <c r="B38" s="105"/>
      <c r="C38" s="105" t="n">
        <v>2</v>
      </c>
      <c r="D38" s="102" t="s">
        <v>285</v>
      </c>
      <c r="E38" s="81"/>
      <c r="F38" s="81"/>
      <c r="G38" s="81"/>
      <c r="H38" s="10" t="str">
        <f aca="false">IF(OR(E38="",F38=""),"",F38-E38)</f>
        <v/>
      </c>
      <c r="I38" s="10" t="str">
        <f aca="false">IF(OR(F38="",G38=""),"",G38-F38)</f>
        <v/>
      </c>
      <c r="J38" s="103" t="str">
        <f aca="false">IF(OR(H38="",I38=""),"",(H38+I38)/H38)</f>
        <v/>
      </c>
      <c r="K38" s="104"/>
      <c r="L38" s="82"/>
    </row>
    <row r="39" customFormat="false" ht="15" hidden="false" customHeight="true" outlineLevel="0" collapsed="false">
      <c r="A39" s="92" t="s">
        <v>226</v>
      </c>
      <c r="B39" s="93" t="s">
        <v>250</v>
      </c>
      <c r="C39" s="94" t="n">
        <v>1</v>
      </c>
      <c r="D39" s="95" t="s">
        <v>286</v>
      </c>
      <c r="E39" s="96"/>
      <c r="F39" s="96"/>
      <c r="G39" s="96"/>
      <c r="H39" s="97" t="str">
        <f aca="false">IF(OR(E39="",F39=""),"",F39-E39)</f>
        <v/>
      </c>
      <c r="I39" s="97" t="str">
        <f aca="false">IF(OR(F39="",G39=""),"",G39-F39)</f>
        <v/>
      </c>
      <c r="J39" s="98" t="str">
        <f aca="false">IF(OR(H39="",I39=""),"",(H39+I39)/H39)</f>
        <v/>
      </c>
      <c r="K39" s="99"/>
      <c r="L39" s="100"/>
    </row>
    <row r="40" customFormat="false" ht="15" hidden="false" customHeight="true" outlineLevel="0" collapsed="false">
      <c r="A40" s="101"/>
      <c r="B40" s="101"/>
      <c r="C40" s="101" t="n">
        <v>2</v>
      </c>
      <c r="D40" s="102" t="s">
        <v>287</v>
      </c>
      <c r="E40" s="81"/>
      <c r="F40" s="81"/>
      <c r="G40" s="81"/>
      <c r="H40" s="10" t="str">
        <f aca="false">IF(OR(E40="",F40=""),"",F40-E40)</f>
        <v/>
      </c>
      <c r="I40" s="10" t="str">
        <f aca="false">IF(OR(F40="",G40=""),"",G40-F40)</f>
        <v/>
      </c>
      <c r="J40" s="103" t="str">
        <f aca="false">IF(OR(H40="",I40=""),"",(H40+I40)/H40)</f>
        <v/>
      </c>
      <c r="K40" s="104"/>
      <c r="L40" s="82"/>
    </row>
    <row r="41" customFormat="false" ht="15" hidden="false" customHeight="true" outlineLevel="0" collapsed="false">
      <c r="A41" s="105"/>
      <c r="B41" s="106" t="s">
        <v>253</v>
      </c>
      <c r="C41" s="105" t="n">
        <v>1</v>
      </c>
      <c r="D41" s="102" t="s">
        <v>288</v>
      </c>
      <c r="E41" s="81"/>
      <c r="F41" s="81"/>
      <c r="G41" s="81"/>
      <c r="H41" s="10" t="str">
        <f aca="false">IF(OR(E41="",F41=""),"",F41-E41)</f>
        <v/>
      </c>
      <c r="I41" s="10" t="str">
        <f aca="false">IF(OR(F41="",G41=""),"",G41-F41)</f>
        <v/>
      </c>
      <c r="J41" s="103" t="str">
        <f aca="false">IF(OR(H41="",I41=""),"",(H41+I41)/H41)</f>
        <v/>
      </c>
      <c r="K41" s="107"/>
      <c r="L41" s="82"/>
    </row>
    <row r="42" customFormat="false" ht="15" hidden="false" customHeight="true" outlineLevel="0" collapsed="false">
      <c r="A42" s="105"/>
      <c r="B42" s="105"/>
      <c r="C42" s="105" t="n">
        <v>2</v>
      </c>
      <c r="D42" s="102" t="s">
        <v>289</v>
      </c>
      <c r="E42" s="81"/>
      <c r="F42" s="81"/>
      <c r="G42" s="81"/>
      <c r="H42" s="10" t="str">
        <f aca="false">IF(OR(E42="",F42=""),"",F42-E42)</f>
        <v/>
      </c>
      <c r="I42" s="10" t="str">
        <f aca="false">IF(OR(F42="",G42=""),"",G42-F42)</f>
        <v/>
      </c>
      <c r="J42" s="103" t="str">
        <f aca="false">IF(OR(H42="",I42=""),"",(H42+I42)/H42)</f>
        <v/>
      </c>
      <c r="K42" s="104"/>
      <c r="L42" s="82"/>
    </row>
    <row r="43" customFormat="false" ht="15" hidden="false" customHeight="true" outlineLevel="0" collapsed="false">
      <c r="A43" s="92" t="s">
        <v>227</v>
      </c>
      <c r="B43" s="93" t="s">
        <v>250</v>
      </c>
      <c r="C43" s="94" t="n">
        <v>1</v>
      </c>
      <c r="D43" s="95" t="s">
        <v>290</v>
      </c>
      <c r="E43" s="96"/>
      <c r="F43" s="96"/>
      <c r="G43" s="96"/>
      <c r="H43" s="97" t="str">
        <f aca="false">IF(OR(E43="",F43=""),"",F43-E43)</f>
        <v/>
      </c>
      <c r="I43" s="97" t="str">
        <f aca="false">IF(OR(F43="",G43=""),"",G43-F43)</f>
        <v/>
      </c>
      <c r="J43" s="98" t="str">
        <f aca="false">IF(OR(H43="",I43=""),"",(H43+I43)/H43)</f>
        <v/>
      </c>
      <c r="K43" s="99"/>
      <c r="L43" s="100"/>
    </row>
    <row r="44" customFormat="false" ht="15" hidden="false" customHeight="true" outlineLevel="0" collapsed="false">
      <c r="A44" s="101"/>
      <c r="B44" s="101"/>
      <c r="C44" s="101" t="n">
        <v>2</v>
      </c>
      <c r="D44" s="102" t="s">
        <v>291</v>
      </c>
      <c r="E44" s="81"/>
      <c r="F44" s="81"/>
      <c r="G44" s="81"/>
      <c r="H44" s="10" t="str">
        <f aca="false">IF(OR(E44="",F44=""),"",F44-E44)</f>
        <v/>
      </c>
      <c r="I44" s="10" t="str">
        <f aca="false">IF(OR(F44="",G44=""),"",G44-F44)</f>
        <v/>
      </c>
      <c r="J44" s="103" t="str">
        <f aca="false">IF(OR(H44="",I44=""),"",(H44+I44)/H44)</f>
        <v/>
      </c>
      <c r="K44" s="104"/>
      <c r="L44" s="82"/>
    </row>
    <row r="45" customFormat="false" ht="15" hidden="false" customHeight="true" outlineLevel="0" collapsed="false">
      <c r="A45" s="105"/>
      <c r="B45" s="106" t="s">
        <v>253</v>
      </c>
      <c r="C45" s="105" t="n">
        <v>1</v>
      </c>
      <c r="D45" s="102" t="s">
        <v>292</v>
      </c>
      <c r="E45" s="81"/>
      <c r="F45" s="81"/>
      <c r="G45" s="81"/>
      <c r="H45" s="10" t="str">
        <f aca="false">IF(OR(E45="",F45=""),"",F45-E45)</f>
        <v/>
      </c>
      <c r="I45" s="10" t="str">
        <f aca="false">IF(OR(F45="",G45=""),"",G45-F45)</f>
        <v/>
      </c>
      <c r="J45" s="103" t="str">
        <f aca="false">IF(OR(H45="",I45=""),"",(H45+I45)/H45)</f>
        <v/>
      </c>
      <c r="K45" s="107"/>
      <c r="L45" s="82"/>
    </row>
    <row r="46" customFormat="false" ht="15" hidden="false" customHeight="true" outlineLevel="0" collapsed="false">
      <c r="A46" s="105"/>
      <c r="B46" s="105"/>
      <c r="C46" s="105" t="n">
        <v>2</v>
      </c>
      <c r="D46" s="102" t="s">
        <v>293</v>
      </c>
      <c r="E46" s="81"/>
      <c r="F46" s="81"/>
      <c r="G46" s="81"/>
      <c r="H46" s="10" t="str">
        <f aca="false">IF(OR(E46="",F46=""),"",F46-E46)</f>
        <v/>
      </c>
      <c r="I46" s="10" t="str">
        <f aca="false">IF(OR(F46="",G46=""),"",G46-F46)</f>
        <v/>
      </c>
      <c r="J46" s="103" t="str">
        <f aca="false">IF(OR(H46="",I46=""),"",(H46+I46)/H46)</f>
        <v/>
      </c>
      <c r="K46" s="104"/>
      <c r="L46" s="82"/>
    </row>
    <row r="47" customFormat="false" ht="17.25" hidden="false" customHeight="true" outlineLevel="0" collapsed="false">
      <c r="A47" s="85" t="s">
        <v>294</v>
      </c>
      <c r="H47" s="86" t="s">
        <v>234</v>
      </c>
      <c r="I47" s="87" t="n">
        <v>200</v>
      </c>
      <c r="J47" s="88" t="s">
        <v>235</v>
      </c>
      <c r="K47" s="89" t="s">
        <v>236</v>
      </c>
    </row>
    <row r="48" customFormat="false" ht="15" hidden="false" customHeight="true" outlineLevel="0" collapsed="false">
      <c r="A48" s="70" t="s">
        <v>295</v>
      </c>
      <c r="I48" s="90" t="s">
        <v>238</v>
      </c>
      <c r="J48" s="91" t="s">
        <v>239</v>
      </c>
    </row>
    <row r="49" customFormat="false" ht="23.25" hidden="false" customHeight="true" outlineLevel="0" collapsed="false">
      <c r="A49" s="79" t="s">
        <v>240</v>
      </c>
      <c r="B49" s="79" t="s">
        <v>241</v>
      </c>
      <c r="C49" s="79" t="s">
        <v>242</v>
      </c>
      <c r="D49" s="79" t="s">
        <v>243</v>
      </c>
      <c r="E49" s="79" t="s">
        <v>244</v>
      </c>
      <c r="F49" s="79" t="s">
        <v>245</v>
      </c>
      <c r="G49" s="79" t="s">
        <v>246</v>
      </c>
      <c r="H49" s="79" t="s">
        <v>247</v>
      </c>
      <c r="I49" s="79" t="s">
        <v>213</v>
      </c>
      <c r="J49" s="79" t="s">
        <v>248</v>
      </c>
      <c r="K49" s="79" t="s">
        <v>249</v>
      </c>
      <c r="L49" s="79" t="s">
        <v>45</v>
      </c>
    </row>
    <row r="50" customFormat="false" ht="15" hidden="false" customHeight="true" outlineLevel="0" collapsed="false">
      <c r="A50" s="92" t="s">
        <v>228</v>
      </c>
      <c r="B50" s="93" t="s">
        <v>250</v>
      </c>
      <c r="C50" s="94" t="n">
        <v>1</v>
      </c>
      <c r="D50" s="95" t="s">
        <v>296</v>
      </c>
      <c r="E50" s="96"/>
      <c r="F50" s="96"/>
      <c r="G50" s="96"/>
      <c r="H50" s="97" t="str">
        <f aca="false">IF(OR(E50="",F50=""),"",F50-E50)</f>
        <v/>
      </c>
      <c r="I50" s="97" t="str">
        <f aca="false">IF(OR(F50="",G50=""),"",G50-F50)</f>
        <v/>
      </c>
      <c r="J50" s="98" t="str">
        <f aca="false">IF(OR(H50="",I50=""),"",(H50+I50)/H50)</f>
        <v/>
      </c>
      <c r="K50" s="99"/>
      <c r="L50" s="100"/>
    </row>
    <row r="51" customFormat="false" ht="15" hidden="false" customHeight="true" outlineLevel="0" collapsed="false">
      <c r="A51" s="101"/>
      <c r="B51" s="101"/>
      <c r="C51" s="101" t="n">
        <v>2</v>
      </c>
      <c r="D51" s="102" t="s">
        <v>297</v>
      </c>
      <c r="E51" s="81"/>
      <c r="F51" s="81"/>
      <c r="G51" s="81"/>
      <c r="H51" s="10" t="str">
        <f aca="false">IF(OR(E51="",F51=""),"",F51-E51)</f>
        <v/>
      </c>
      <c r="I51" s="10" t="str">
        <f aca="false">IF(OR(F51="",G51=""),"",G51-F51)</f>
        <v/>
      </c>
      <c r="J51" s="103" t="str">
        <f aca="false">IF(OR(H51="",I51=""),"",(H51+I51)/H51)</f>
        <v/>
      </c>
      <c r="K51" s="104"/>
      <c r="L51" s="82"/>
    </row>
    <row r="52" customFormat="false" ht="15" hidden="false" customHeight="true" outlineLevel="0" collapsed="false">
      <c r="A52" s="105"/>
      <c r="B52" s="106" t="s">
        <v>253</v>
      </c>
      <c r="C52" s="105" t="n">
        <v>1</v>
      </c>
      <c r="D52" s="102" t="s">
        <v>298</v>
      </c>
      <c r="E52" s="81"/>
      <c r="F52" s="81"/>
      <c r="G52" s="81"/>
      <c r="H52" s="10" t="str">
        <f aca="false">IF(OR(E52="",F52=""),"",F52-E52)</f>
        <v/>
      </c>
      <c r="I52" s="10" t="str">
        <f aca="false">IF(OR(F52="",G52=""),"",G52-F52)</f>
        <v/>
      </c>
      <c r="J52" s="103" t="str">
        <f aca="false">IF(OR(H52="",I52=""),"",(H52+I52)/H52)</f>
        <v/>
      </c>
      <c r="K52" s="107"/>
      <c r="L52" s="82"/>
    </row>
    <row r="53" customFormat="false" ht="15" hidden="false" customHeight="true" outlineLevel="0" collapsed="false">
      <c r="A53" s="105"/>
      <c r="B53" s="105"/>
      <c r="C53" s="105" t="n">
        <v>2</v>
      </c>
      <c r="D53" s="102" t="s">
        <v>299</v>
      </c>
      <c r="E53" s="81"/>
      <c r="F53" s="81"/>
      <c r="G53" s="81"/>
      <c r="H53" s="10" t="str">
        <f aca="false">IF(OR(E53="",F53=""),"",F53-E53)</f>
        <v/>
      </c>
      <c r="I53" s="10" t="str">
        <f aca="false">IF(OR(F53="",G53=""),"",G53-F53)</f>
        <v/>
      </c>
      <c r="J53" s="103" t="str">
        <f aca="false">IF(OR(H53="",I53=""),"",(H53+I53)/H53)</f>
        <v/>
      </c>
      <c r="K53" s="104"/>
      <c r="L53" s="82"/>
    </row>
    <row r="54" customFormat="false" ht="15" hidden="false" customHeight="true" outlineLevel="0" collapsed="false">
      <c r="A54" s="92" t="s">
        <v>229</v>
      </c>
      <c r="B54" s="93" t="s">
        <v>250</v>
      </c>
      <c r="C54" s="94" t="n">
        <v>1</v>
      </c>
      <c r="D54" s="95" t="s">
        <v>300</v>
      </c>
      <c r="E54" s="96"/>
      <c r="F54" s="96"/>
      <c r="G54" s="96"/>
      <c r="H54" s="97" t="str">
        <f aca="false">IF(OR(E54="",F54=""),"",F54-E54)</f>
        <v/>
      </c>
      <c r="I54" s="97" t="str">
        <f aca="false">IF(OR(F54="",G54=""),"",G54-F54)</f>
        <v/>
      </c>
      <c r="J54" s="98" t="str">
        <f aca="false">IF(OR(H54="",I54=""),"",(H54+I54)/H54)</f>
        <v/>
      </c>
      <c r="K54" s="99"/>
      <c r="L54" s="100"/>
    </row>
    <row r="55" customFormat="false" ht="15" hidden="false" customHeight="true" outlineLevel="0" collapsed="false">
      <c r="A55" s="101"/>
      <c r="B55" s="101"/>
      <c r="C55" s="101" t="n">
        <v>2</v>
      </c>
      <c r="D55" s="102" t="s">
        <v>301</v>
      </c>
      <c r="E55" s="81"/>
      <c r="F55" s="81"/>
      <c r="G55" s="81"/>
      <c r="H55" s="10" t="str">
        <f aca="false">IF(OR(E55="",F55=""),"",F55-E55)</f>
        <v/>
      </c>
      <c r="I55" s="10" t="str">
        <f aca="false">IF(OR(F55="",G55=""),"",G55-F55)</f>
        <v/>
      </c>
      <c r="J55" s="103" t="str">
        <f aca="false">IF(OR(H55="",I55=""),"",(H55+I55)/H55)</f>
        <v/>
      </c>
      <c r="K55" s="104"/>
      <c r="L55" s="82"/>
    </row>
    <row r="56" customFormat="false" ht="15" hidden="false" customHeight="true" outlineLevel="0" collapsed="false">
      <c r="A56" s="105"/>
      <c r="B56" s="106" t="s">
        <v>253</v>
      </c>
      <c r="C56" s="105" t="n">
        <v>1</v>
      </c>
      <c r="D56" s="102" t="s">
        <v>302</v>
      </c>
      <c r="E56" s="81"/>
      <c r="F56" s="81"/>
      <c r="G56" s="81"/>
      <c r="H56" s="10" t="str">
        <f aca="false">IF(OR(E56="",F56=""),"",F56-E56)</f>
        <v/>
      </c>
      <c r="I56" s="10" t="str">
        <f aca="false">IF(OR(F56="",G56=""),"",G56-F56)</f>
        <v/>
      </c>
      <c r="J56" s="103" t="str">
        <f aca="false">IF(OR(H56="",I56=""),"",(H56+I56)/H56)</f>
        <v/>
      </c>
      <c r="K56" s="107"/>
      <c r="L56" s="82"/>
    </row>
    <row r="57" customFormat="false" ht="15" hidden="false" customHeight="true" outlineLevel="0" collapsed="false">
      <c r="A57" s="105"/>
      <c r="B57" s="105"/>
      <c r="C57" s="105" t="n">
        <v>2</v>
      </c>
      <c r="D57" s="102" t="s">
        <v>303</v>
      </c>
      <c r="E57" s="81"/>
      <c r="F57" s="81"/>
      <c r="G57" s="81"/>
      <c r="H57" s="10" t="str">
        <f aca="false">IF(OR(E57="",F57=""),"",F57-E57)</f>
        <v/>
      </c>
      <c r="I57" s="10" t="str">
        <f aca="false">IF(OR(F57="",G57=""),"",G57-F57)</f>
        <v/>
      </c>
      <c r="J57" s="103" t="str">
        <f aca="false">IF(OR(H57="",I57=""),"",(H57+I57)/H57)</f>
        <v/>
      </c>
      <c r="K57" s="104"/>
      <c r="L57" s="82"/>
    </row>
    <row r="58" customFormat="false" ht="15" hidden="false" customHeight="true" outlineLevel="0" collapsed="false">
      <c r="A58" s="92" t="s">
        <v>230</v>
      </c>
      <c r="B58" s="93" t="s">
        <v>250</v>
      </c>
      <c r="C58" s="94" t="n">
        <v>1</v>
      </c>
      <c r="D58" s="95" t="s">
        <v>304</v>
      </c>
      <c r="E58" s="96"/>
      <c r="F58" s="96"/>
      <c r="G58" s="96"/>
      <c r="H58" s="97" t="str">
        <f aca="false">IF(OR(E58="",F58=""),"",F58-E58)</f>
        <v/>
      </c>
      <c r="I58" s="97" t="str">
        <f aca="false">IF(OR(F58="",G58=""),"",G58-F58)</f>
        <v/>
      </c>
      <c r="J58" s="98" t="str">
        <f aca="false">IF(OR(H58="",I58=""),"",(H58+I58)/H58)</f>
        <v/>
      </c>
      <c r="K58" s="99"/>
      <c r="L58" s="100"/>
    </row>
    <row r="59" customFormat="false" ht="15" hidden="false" customHeight="true" outlineLevel="0" collapsed="false">
      <c r="A59" s="101"/>
      <c r="B59" s="101"/>
      <c r="C59" s="101" t="n">
        <v>2</v>
      </c>
      <c r="D59" s="102" t="s">
        <v>305</v>
      </c>
      <c r="E59" s="81"/>
      <c r="F59" s="81"/>
      <c r="G59" s="81"/>
      <c r="H59" s="10" t="str">
        <f aca="false">IF(OR(E59="",F59=""),"",F59-E59)</f>
        <v/>
      </c>
      <c r="I59" s="10" t="str">
        <f aca="false">IF(OR(F59="",G59=""),"",G59-F59)</f>
        <v/>
      </c>
      <c r="J59" s="103" t="str">
        <f aca="false">IF(OR(H59="",I59=""),"",(H59+I59)/H59)</f>
        <v/>
      </c>
      <c r="K59" s="104"/>
      <c r="L59" s="82"/>
    </row>
    <row r="60" customFormat="false" ht="15" hidden="false" customHeight="true" outlineLevel="0" collapsed="false">
      <c r="A60" s="105"/>
      <c r="B60" s="106" t="s">
        <v>253</v>
      </c>
      <c r="C60" s="105" t="n">
        <v>1</v>
      </c>
      <c r="D60" s="102" t="s">
        <v>306</v>
      </c>
      <c r="E60" s="81"/>
      <c r="F60" s="81"/>
      <c r="G60" s="81"/>
      <c r="H60" s="10" t="str">
        <f aca="false">IF(OR(E60="",F60=""),"",F60-E60)</f>
        <v/>
      </c>
      <c r="I60" s="10" t="str">
        <f aca="false">IF(OR(F60="",G60=""),"",G60-F60)</f>
        <v/>
      </c>
      <c r="J60" s="103" t="str">
        <f aca="false">IF(OR(H60="",I60=""),"",(H60+I60)/H60)</f>
        <v/>
      </c>
      <c r="K60" s="107"/>
      <c r="L60" s="82"/>
    </row>
    <row r="61" customFormat="false" ht="15" hidden="false" customHeight="true" outlineLevel="0" collapsed="false">
      <c r="A61" s="105"/>
      <c r="B61" s="105"/>
      <c r="C61" s="105" t="n">
        <v>2</v>
      </c>
      <c r="D61" s="102" t="s">
        <v>307</v>
      </c>
      <c r="E61" s="81"/>
      <c r="F61" s="81"/>
      <c r="G61" s="81"/>
      <c r="H61" s="10" t="str">
        <f aca="false">IF(OR(E61="",F61=""),"",F61-E61)</f>
        <v/>
      </c>
      <c r="I61" s="10" t="str">
        <f aca="false">IF(OR(F61="",G61=""),"",G61-F61)</f>
        <v/>
      </c>
      <c r="J61" s="103" t="str">
        <f aca="false">IF(OR(H61="",I61=""),"",(H61+I61)/H61)</f>
        <v/>
      </c>
      <c r="K61" s="104"/>
      <c r="L61" s="82"/>
    </row>
    <row r="62" customFormat="false" ht="15" hidden="false" customHeight="true" outlineLevel="0" collapsed="false">
      <c r="A62" s="92" t="s">
        <v>231</v>
      </c>
      <c r="B62" s="93" t="s">
        <v>250</v>
      </c>
      <c r="C62" s="94" t="n">
        <v>1</v>
      </c>
      <c r="D62" s="95" t="s">
        <v>308</v>
      </c>
      <c r="E62" s="96"/>
      <c r="F62" s="96"/>
      <c r="G62" s="96"/>
      <c r="H62" s="97" t="str">
        <f aca="false">IF(OR(E62="",F62=""),"",F62-E62)</f>
        <v/>
      </c>
      <c r="I62" s="97" t="str">
        <f aca="false">IF(OR(F62="",G62=""),"",G62-F62)</f>
        <v/>
      </c>
      <c r="J62" s="98" t="str">
        <f aca="false">IF(OR(H62="",I62=""),"",(H62+I62)/H62)</f>
        <v/>
      </c>
      <c r="K62" s="99"/>
      <c r="L62" s="100"/>
    </row>
    <row r="63" customFormat="false" ht="15" hidden="false" customHeight="true" outlineLevel="0" collapsed="false">
      <c r="A63" s="101"/>
      <c r="B63" s="101"/>
      <c r="C63" s="101" t="n">
        <v>2</v>
      </c>
      <c r="D63" s="102" t="s">
        <v>309</v>
      </c>
      <c r="E63" s="81"/>
      <c r="F63" s="81"/>
      <c r="G63" s="81"/>
      <c r="H63" s="10" t="str">
        <f aca="false">IF(OR(E63="",F63=""),"",F63-E63)</f>
        <v/>
      </c>
      <c r="I63" s="10" t="str">
        <f aca="false">IF(OR(F63="",G63=""),"",G63-F63)</f>
        <v/>
      </c>
      <c r="J63" s="103" t="str">
        <f aca="false">IF(OR(H63="",I63=""),"",(H63+I63)/H63)</f>
        <v/>
      </c>
      <c r="K63" s="104"/>
      <c r="L63" s="82"/>
    </row>
    <row r="64" customFormat="false" ht="15" hidden="false" customHeight="true" outlineLevel="0" collapsed="false">
      <c r="A64" s="105"/>
      <c r="B64" s="106" t="s">
        <v>253</v>
      </c>
      <c r="C64" s="105" t="n">
        <v>1</v>
      </c>
      <c r="D64" s="102" t="s">
        <v>310</v>
      </c>
      <c r="E64" s="81"/>
      <c r="F64" s="81"/>
      <c r="G64" s="81"/>
      <c r="H64" s="10" t="str">
        <f aca="false">IF(OR(E64="",F64=""),"",F64-E64)</f>
        <v/>
      </c>
      <c r="I64" s="10" t="str">
        <f aca="false">IF(OR(F64="",G64=""),"",G64-F64)</f>
        <v/>
      </c>
      <c r="J64" s="103" t="str">
        <f aca="false">IF(OR(H64="",I64=""),"",(H64+I64)/H64)</f>
        <v/>
      </c>
      <c r="K64" s="107"/>
      <c r="L64" s="82"/>
    </row>
    <row r="65" customFormat="false" ht="15" hidden="false" customHeight="true" outlineLevel="0" collapsed="false">
      <c r="A65" s="105"/>
      <c r="B65" s="105"/>
      <c r="C65" s="105" t="n">
        <v>2</v>
      </c>
      <c r="D65" s="102" t="s">
        <v>311</v>
      </c>
      <c r="E65" s="81"/>
      <c r="F65" s="81"/>
      <c r="G65" s="81"/>
      <c r="H65" s="10" t="str">
        <f aca="false">IF(OR(E65="",F65=""),"",F65-E65)</f>
        <v/>
      </c>
      <c r="I65" s="10" t="str">
        <f aca="false">IF(OR(F65="",G65=""),"",G65-F65)</f>
        <v/>
      </c>
      <c r="J65" s="103" t="str">
        <f aca="false">IF(OR(H65="",I65=""),"",(H65+I65)/H65)</f>
        <v/>
      </c>
      <c r="K65" s="104"/>
      <c r="L65" s="82"/>
    </row>
    <row r="66" customFormat="false" ht="15" hidden="false" customHeight="true" outlineLevel="0" collapsed="false">
      <c r="A66" s="92" t="s">
        <v>232</v>
      </c>
      <c r="B66" s="93" t="s">
        <v>250</v>
      </c>
      <c r="C66" s="94" t="n">
        <v>1</v>
      </c>
      <c r="D66" s="95" t="s">
        <v>312</v>
      </c>
      <c r="E66" s="96"/>
      <c r="F66" s="96"/>
      <c r="G66" s="96"/>
      <c r="H66" s="97" t="str">
        <f aca="false">IF(OR(E66="",F66=""),"",F66-E66)</f>
        <v/>
      </c>
      <c r="I66" s="97" t="str">
        <f aca="false">IF(OR(F66="",G66=""),"",G66-F66)</f>
        <v/>
      </c>
      <c r="J66" s="98" t="str">
        <f aca="false">IF(OR(H66="",I66=""),"",(H66+I66)/H66)</f>
        <v/>
      </c>
      <c r="K66" s="99"/>
      <c r="L66" s="100"/>
    </row>
    <row r="67" customFormat="false" ht="15" hidden="false" customHeight="true" outlineLevel="0" collapsed="false">
      <c r="A67" s="101"/>
      <c r="B67" s="101"/>
      <c r="C67" s="101" t="n">
        <v>2</v>
      </c>
      <c r="D67" s="102" t="s">
        <v>313</v>
      </c>
      <c r="E67" s="81"/>
      <c r="F67" s="81"/>
      <c r="G67" s="81"/>
      <c r="H67" s="10" t="str">
        <f aca="false">IF(OR(E67="",F67=""),"",F67-E67)</f>
        <v/>
      </c>
      <c r="I67" s="10" t="str">
        <f aca="false">IF(OR(F67="",G67=""),"",G67-F67)</f>
        <v/>
      </c>
      <c r="J67" s="103" t="str">
        <f aca="false">IF(OR(H67="",I67=""),"",(H67+I67)/H67)</f>
        <v/>
      </c>
      <c r="K67" s="104"/>
      <c r="L67" s="82"/>
    </row>
    <row r="68" customFormat="false" ht="15" hidden="false" customHeight="true" outlineLevel="0" collapsed="false">
      <c r="A68" s="105"/>
      <c r="B68" s="106" t="s">
        <v>253</v>
      </c>
      <c r="C68" s="105" t="n">
        <v>1</v>
      </c>
      <c r="D68" s="102" t="s">
        <v>314</v>
      </c>
      <c r="E68" s="81"/>
      <c r="F68" s="81"/>
      <c r="G68" s="81"/>
      <c r="H68" s="10" t="str">
        <f aca="false">IF(OR(E68="",F68=""),"",F68-E68)</f>
        <v/>
      </c>
      <c r="I68" s="10" t="str">
        <f aca="false">IF(OR(F68="",G68=""),"",G68-F68)</f>
        <v/>
      </c>
      <c r="J68" s="103" t="str">
        <f aca="false">IF(OR(H68="",I68=""),"",(H68+I68)/H68)</f>
        <v/>
      </c>
      <c r="K68" s="107"/>
      <c r="L68" s="82"/>
    </row>
    <row r="69" customFormat="false" ht="15" hidden="false" customHeight="true" outlineLevel="0" collapsed="false">
      <c r="A69" s="105"/>
      <c r="B69" s="105"/>
      <c r="C69" s="105" t="n">
        <v>2</v>
      </c>
      <c r="D69" s="102" t="s">
        <v>315</v>
      </c>
      <c r="E69" s="81"/>
      <c r="F69" s="81"/>
      <c r="G69" s="81"/>
      <c r="H69" s="10" t="str">
        <f aca="false">IF(OR(E69="",F69=""),"",F69-E69)</f>
        <v/>
      </c>
      <c r="I69" s="10" t="str">
        <f aca="false">IF(OR(F69="",G69=""),"",G69-F69)</f>
        <v/>
      </c>
      <c r="J69" s="103" t="str">
        <f aca="false">IF(OR(H69="",I69=""),"",(H69+I69)/H69)</f>
        <v/>
      </c>
      <c r="K69" s="104"/>
      <c r="L69" s="82"/>
    </row>
    <row r="70" customFormat="false" ht="17.25" hidden="false" customHeight="true" outlineLevel="0" collapsed="false">
      <c r="A70" s="85"/>
      <c r="H70" s="86"/>
      <c r="I70" s="87"/>
      <c r="J70" s="88"/>
      <c r="K70" s="89"/>
    </row>
    <row r="71" customFormat="false" ht="15" hidden="false" customHeight="true" outlineLevel="0" collapsed="false">
      <c r="A71" s="70"/>
      <c r="I71" s="90"/>
      <c r="J71" s="91"/>
    </row>
    <row r="72" customFormat="false" ht="23.25" hidden="false" customHeight="true" outlineLevel="0" collapsed="false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</row>
    <row r="73" customFormat="false" ht="15" hidden="false" customHeight="true" outlineLevel="0" collapsed="false">
      <c r="A73" s="92"/>
      <c r="B73" s="93"/>
      <c r="C73" s="94"/>
      <c r="D73" s="95"/>
      <c r="E73" s="96"/>
      <c r="F73" s="96"/>
      <c r="G73" s="96"/>
      <c r="H73" s="97"/>
      <c r="I73" s="97"/>
      <c r="J73" s="98"/>
      <c r="K73" s="99"/>
      <c r="L73" s="100"/>
    </row>
    <row r="74" customFormat="false" ht="15" hidden="false" customHeight="true" outlineLevel="0" collapsed="false">
      <c r="A74" s="101"/>
      <c r="B74" s="101"/>
      <c r="C74" s="101"/>
      <c r="D74" s="102"/>
      <c r="E74" s="81"/>
      <c r="F74" s="81"/>
      <c r="G74" s="81"/>
      <c r="H74" s="10"/>
      <c r="I74" s="10"/>
      <c r="J74" s="103"/>
      <c r="K74" s="104"/>
      <c r="L74" s="82"/>
    </row>
    <row r="75" customFormat="false" ht="15" hidden="false" customHeight="true" outlineLevel="0" collapsed="false">
      <c r="A75" s="105"/>
      <c r="B75" s="106"/>
      <c r="C75" s="105"/>
      <c r="D75" s="102"/>
      <c r="E75" s="81"/>
      <c r="F75" s="81"/>
      <c r="G75" s="81"/>
      <c r="H75" s="10"/>
      <c r="I75" s="10"/>
      <c r="J75" s="103"/>
      <c r="K75" s="107"/>
      <c r="L75" s="82"/>
    </row>
    <row r="76" customFormat="false" ht="15" hidden="false" customHeight="true" outlineLevel="0" collapsed="false">
      <c r="A76" s="105"/>
      <c r="B76" s="105"/>
      <c r="C76" s="105"/>
      <c r="D76" s="102"/>
      <c r="E76" s="81"/>
      <c r="F76" s="81"/>
      <c r="G76" s="81"/>
      <c r="H76" s="10"/>
      <c r="I76" s="10"/>
      <c r="J76" s="103"/>
      <c r="K76" s="104"/>
      <c r="L76" s="82"/>
    </row>
    <row r="77" customFormat="false" ht="15" hidden="false" customHeight="true" outlineLevel="0" collapsed="false">
      <c r="A77" s="92"/>
      <c r="B77" s="93"/>
      <c r="C77" s="94"/>
      <c r="D77" s="95"/>
      <c r="E77" s="96"/>
      <c r="F77" s="96"/>
      <c r="G77" s="96"/>
      <c r="H77" s="97"/>
      <c r="I77" s="97"/>
      <c r="J77" s="98"/>
      <c r="K77" s="99"/>
      <c r="L77" s="100"/>
    </row>
    <row r="78" customFormat="false" ht="15" hidden="false" customHeight="true" outlineLevel="0" collapsed="false">
      <c r="A78" s="101"/>
      <c r="B78" s="101"/>
      <c r="C78" s="101"/>
      <c r="D78" s="102"/>
      <c r="E78" s="81"/>
      <c r="F78" s="81"/>
      <c r="G78" s="81"/>
      <c r="H78" s="10"/>
      <c r="I78" s="10"/>
      <c r="J78" s="103"/>
      <c r="K78" s="104"/>
      <c r="L78" s="82"/>
    </row>
    <row r="79" customFormat="false" ht="15" hidden="false" customHeight="true" outlineLevel="0" collapsed="false">
      <c r="A79" s="105"/>
      <c r="B79" s="106"/>
      <c r="C79" s="105"/>
      <c r="D79" s="102"/>
      <c r="E79" s="81"/>
      <c r="F79" s="81"/>
      <c r="G79" s="81"/>
      <c r="H79" s="10"/>
      <c r="I79" s="10"/>
      <c r="J79" s="103"/>
      <c r="K79" s="107"/>
      <c r="L79" s="82"/>
    </row>
    <row r="80" customFormat="false" ht="15" hidden="false" customHeight="true" outlineLevel="0" collapsed="false">
      <c r="A80" s="105"/>
      <c r="B80" s="105"/>
      <c r="C80" s="105"/>
      <c r="D80" s="102"/>
      <c r="E80" s="81"/>
      <c r="F80" s="81"/>
      <c r="G80" s="81"/>
      <c r="H80" s="10"/>
      <c r="I80" s="10"/>
      <c r="J80" s="103"/>
      <c r="K80" s="104"/>
      <c r="L80" s="82"/>
    </row>
    <row r="81" customFormat="false" ht="15" hidden="false" customHeight="true" outlineLevel="0" collapsed="false">
      <c r="A81" s="92"/>
      <c r="B81" s="93"/>
      <c r="C81" s="94"/>
      <c r="D81" s="95"/>
      <c r="E81" s="96"/>
      <c r="F81" s="96"/>
      <c r="G81" s="96"/>
      <c r="H81" s="97"/>
      <c r="I81" s="97"/>
      <c r="J81" s="98"/>
      <c r="K81" s="99"/>
      <c r="L81" s="100"/>
    </row>
    <row r="82" customFormat="false" ht="15" hidden="false" customHeight="true" outlineLevel="0" collapsed="false">
      <c r="A82" s="101"/>
      <c r="B82" s="101"/>
      <c r="C82" s="101"/>
      <c r="D82" s="102"/>
      <c r="E82" s="81"/>
      <c r="F82" s="81"/>
      <c r="G82" s="81"/>
      <c r="H82" s="10"/>
      <c r="I82" s="10"/>
      <c r="J82" s="103"/>
      <c r="K82" s="104"/>
      <c r="L82" s="82"/>
    </row>
    <row r="83" customFormat="false" ht="15" hidden="false" customHeight="true" outlineLevel="0" collapsed="false">
      <c r="A83" s="105"/>
      <c r="B83" s="106"/>
      <c r="C83" s="105"/>
      <c r="D83" s="102"/>
      <c r="E83" s="81"/>
      <c r="F83" s="81"/>
      <c r="G83" s="81"/>
      <c r="H83" s="10"/>
      <c r="I83" s="10"/>
      <c r="J83" s="103"/>
      <c r="K83" s="107"/>
      <c r="L83" s="82"/>
    </row>
    <row r="84" customFormat="false" ht="15" hidden="false" customHeight="true" outlineLevel="0" collapsed="false">
      <c r="A84" s="105"/>
      <c r="B84" s="105"/>
      <c r="C84" s="105"/>
      <c r="D84" s="102"/>
      <c r="E84" s="81"/>
      <c r="F84" s="81"/>
      <c r="G84" s="81"/>
      <c r="H84" s="10"/>
      <c r="I84" s="10"/>
      <c r="J84" s="103"/>
      <c r="K84" s="104"/>
      <c r="L84" s="82"/>
    </row>
    <row r="85" customFormat="false" ht="15" hidden="false" customHeight="true" outlineLevel="0" collapsed="false">
      <c r="A85" s="92"/>
      <c r="B85" s="93"/>
      <c r="C85" s="94"/>
      <c r="D85" s="95"/>
      <c r="E85" s="96"/>
      <c r="F85" s="96"/>
      <c r="G85" s="96"/>
      <c r="H85" s="97"/>
      <c r="I85" s="97"/>
      <c r="J85" s="98"/>
      <c r="K85" s="99"/>
      <c r="L85" s="100"/>
    </row>
    <row r="86" customFormat="false" ht="15" hidden="false" customHeight="true" outlineLevel="0" collapsed="false">
      <c r="A86" s="101"/>
      <c r="B86" s="101"/>
      <c r="C86" s="101"/>
      <c r="D86" s="102"/>
      <c r="E86" s="81"/>
      <c r="F86" s="81"/>
      <c r="G86" s="81"/>
      <c r="H86" s="10"/>
      <c r="I86" s="10"/>
      <c r="J86" s="103"/>
      <c r="K86" s="104"/>
      <c r="L86" s="82"/>
    </row>
    <row r="87" customFormat="false" ht="15" hidden="false" customHeight="true" outlineLevel="0" collapsed="false">
      <c r="A87" s="105"/>
      <c r="B87" s="106"/>
      <c r="C87" s="105"/>
      <c r="D87" s="102"/>
      <c r="E87" s="81"/>
      <c r="F87" s="81"/>
      <c r="G87" s="81"/>
      <c r="H87" s="10"/>
      <c r="I87" s="10"/>
      <c r="J87" s="103"/>
      <c r="K87" s="107"/>
      <c r="L87" s="82"/>
    </row>
    <row r="88" customFormat="false" ht="15" hidden="false" customHeight="true" outlineLevel="0" collapsed="false">
      <c r="A88" s="105"/>
      <c r="B88" s="105"/>
      <c r="C88" s="105"/>
      <c r="D88" s="102"/>
      <c r="E88" s="81"/>
      <c r="F88" s="81"/>
      <c r="G88" s="81"/>
      <c r="H88" s="10"/>
      <c r="I88" s="10"/>
      <c r="J88" s="103"/>
      <c r="K88" s="104"/>
      <c r="L88" s="82"/>
    </row>
    <row r="89" customFormat="false" ht="15" hidden="false" customHeight="true" outlineLevel="0" collapsed="false">
      <c r="A89" s="92"/>
      <c r="B89" s="93"/>
      <c r="C89" s="94"/>
      <c r="D89" s="95"/>
      <c r="E89" s="96"/>
      <c r="F89" s="96"/>
      <c r="G89" s="96"/>
      <c r="H89" s="97"/>
      <c r="I89" s="97"/>
      <c r="J89" s="98"/>
      <c r="K89" s="99"/>
      <c r="L89" s="100"/>
    </row>
    <row r="90" customFormat="false" ht="15" hidden="false" customHeight="true" outlineLevel="0" collapsed="false">
      <c r="A90" s="101"/>
      <c r="B90" s="101"/>
      <c r="C90" s="101"/>
      <c r="D90" s="102"/>
      <c r="E90" s="81"/>
      <c r="F90" s="81"/>
      <c r="G90" s="81"/>
      <c r="H90" s="10"/>
      <c r="I90" s="10"/>
      <c r="J90" s="103"/>
      <c r="K90" s="104"/>
      <c r="L90" s="82"/>
    </row>
    <row r="91" customFormat="false" ht="15" hidden="false" customHeight="true" outlineLevel="0" collapsed="false">
      <c r="A91" s="105"/>
      <c r="B91" s="106"/>
      <c r="C91" s="105"/>
      <c r="D91" s="102"/>
      <c r="E91" s="81"/>
      <c r="F91" s="81"/>
      <c r="G91" s="81"/>
      <c r="H91" s="10"/>
      <c r="I91" s="10"/>
      <c r="J91" s="103"/>
      <c r="K91" s="107"/>
      <c r="L91" s="82"/>
    </row>
    <row r="92" customFormat="false" ht="15" hidden="false" customHeight="true" outlineLevel="0" collapsed="false">
      <c r="A92" s="105"/>
      <c r="B92" s="105"/>
      <c r="C92" s="105"/>
      <c r="D92" s="102"/>
      <c r="E92" s="81"/>
      <c r="F92" s="81"/>
      <c r="G92" s="81"/>
      <c r="H92" s="10"/>
      <c r="I92" s="10"/>
      <c r="J92" s="103"/>
      <c r="K92" s="104"/>
      <c r="L92" s="82"/>
    </row>
    <row r="93" customFormat="false" ht="17.25" hidden="false" customHeight="true" outlineLevel="0" collapsed="false">
      <c r="A93" s="85"/>
      <c r="H93" s="86"/>
      <c r="I93" s="87"/>
      <c r="J93" s="88"/>
      <c r="K93" s="89"/>
    </row>
    <row r="94" customFormat="false" ht="15" hidden="false" customHeight="true" outlineLevel="0" collapsed="false">
      <c r="A94" s="70"/>
      <c r="I94" s="90"/>
      <c r="J94" s="91"/>
    </row>
    <row r="95" customFormat="false" ht="23.25" hidden="false" customHeight="true" outlineLevel="0" collapsed="false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</row>
    <row r="96" customFormat="false" ht="15" hidden="false" customHeight="true" outlineLevel="0" collapsed="false">
      <c r="A96" s="92"/>
      <c r="B96" s="93"/>
      <c r="C96" s="94"/>
      <c r="D96" s="95"/>
      <c r="E96" s="96"/>
      <c r="F96" s="96"/>
      <c r="G96" s="96"/>
      <c r="H96" s="97"/>
      <c r="I96" s="97"/>
      <c r="J96" s="98"/>
      <c r="K96" s="99"/>
      <c r="L96" s="100"/>
    </row>
    <row r="97" customFormat="false" ht="15" hidden="false" customHeight="true" outlineLevel="0" collapsed="false">
      <c r="A97" s="101"/>
      <c r="B97" s="101"/>
      <c r="C97" s="101"/>
      <c r="D97" s="102"/>
      <c r="E97" s="81"/>
      <c r="F97" s="81"/>
      <c r="G97" s="81"/>
      <c r="H97" s="10"/>
      <c r="I97" s="10"/>
      <c r="J97" s="103"/>
      <c r="K97" s="104"/>
      <c r="L97" s="82"/>
    </row>
    <row r="98" customFormat="false" ht="15" hidden="false" customHeight="true" outlineLevel="0" collapsed="false">
      <c r="A98" s="105"/>
      <c r="B98" s="106"/>
      <c r="C98" s="105"/>
      <c r="D98" s="102"/>
      <c r="E98" s="81"/>
      <c r="F98" s="81"/>
      <c r="G98" s="81"/>
      <c r="H98" s="10"/>
      <c r="I98" s="10"/>
      <c r="J98" s="103"/>
      <c r="K98" s="107"/>
      <c r="L98" s="82"/>
    </row>
    <row r="99" customFormat="false" ht="15" hidden="false" customHeight="true" outlineLevel="0" collapsed="false">
      <c r="A99" s="105"/>
      <c r="B99" s="105"/>
      <c r="C99" s="105"/>
      <c r="D99" s="102"/>
      <c r="E99" s="81"/>
      <c r="F99" s="81"/>
      <c r="G99" s="81"/>
      <c r="H99" s="10"/>
      <c r="I99" s="10"/>
      <c r="J99" s="103"/>
      <c r="K99" s="104"/>
      <c r="L99" s="82"/>
    </row>
    <row r="100" customFormat="false" ht="15" hidden="false" customHeight="true" outlineLevel="0" collapsed="false">
      <c r="A100" s="92"/>
      <c r="B100" s="93"/>
      <c r="C100" s="94"/>
      <c r="D100" s="95"/>
      <c r="E100" s="96"/>
      <c r="F100" s="96"/>
      <c r="G100" s="96"/>
      <c r="H100" s="97"/>
      <c r="I100" s="97"/>
      <c r="J100" s="98"/>
      <c r="K100" s="99"/>
      <c r="L100" s="100"/>
    </row>
    <row r="101" customFormat="false" ht="15" hidden="false" customHeight="true" outlineLevel="0" collapsed="false">
      <c r="A101" s="101"/>
      <c r="B101" s="101"/>
      <c r="C101" s="101"/>
      <c r="D101" s="102"/>
      <c r="E101" s="81"/>
      <c r="F101" s="81"/>
      <c r="G101" s="81"/>
      <c r="H101" s="10"/>
      <c r="I101" s="10"/>
      <c r="J101" s="103"/>
      <c r="K101" s="104"/>
      <c r="L101" s="82"/>
    </row>
    <row r="102" customFormat="false" ht="15" hidden="false" customHeight="true" outlineLevel="0" collapsed="false">
      <c r="A102" s="105"/>
      <c r="B102" s="106"/>
      <c r="C102" s="105"/>
      <c r="D102" s="102"/>
      <c r="E102" s="81"/>
      <c r="F102" s="81"/>
      <c r="G102" s="81"/>
      <c r="H102" s="10"/>
      <c r="I102" s="10"/>
      <c r="J102" s="103"/>
      <c r="K102" s="107"/>
      <c r="L102" s="82"/>
    </row>
    <row r="103" customFormat="false" ht="15" hidden="false" customHeight="true" outlineLevel="0" collapsed="false">
      <c r="A103" s="105"/>
      <c r="B103" s="105"/>
      <c r="C103" s="105"/>
      <c r="D103" s="102"/>
      <c r="E103" s="81"/>
      <c r="F103" s="81"/>
      <c r="G103" s="81"/>
      <c r="H103" s="10"/>
      <c r="I103" s="10"/>
      <c r="J103" s="103"/>
      <c r="K103" s="104"/>
      <c r="L103" s="82"/>
    </row>
    <row r="104" customFormat="false" ht="15" hidden="false" customHeight="true" outlineLevel="0" collapsed="false">
      <c r="A104" s="92"/>
      <c r="B104" s="93"/>
      <c r="C104" s="94"/>
      <c r="D104" s="95"/>
      <c r="E104" s="96"/>
      <c r="F104" s="96"/>
      <c r="G104" s="96"/>
      <c r="H104" s="97"/>
      <c r="I104" s="97"/>
      <c r="J104" s="98"/>
      <c r="K104" s="99"/>
      <c r="L104" s="100"/>
    </row>
    <row r="105" customFormat="false" ht="15" hidden="false" customHeight="true" outlineLevel="0" collapsed="false">
      <c r="A105" s="101"/>
      <c r="B105" s="101"/>
      <c r="C105" s="101"/>
      <c r="D105" s="102"/>
      <c r="E105" s="81"/>
      <c r="F105" s="81"/>
      <c r="G105" s="81"/>
      <c r="H105" s="10"/>
      <c r="I105" s="10"/>
      <c r="J105" s="103"/>
      <c r="K105" s="104"/>
      <c r="L105" s="82"/>
    </row>
    <row r="106" customFormat="false" ht="15" hidden="false" customHeight="true" outlineLevel="0" collapsed="false">
      <c r="A106" s="105"/>
      <c r="B106" s="106"/>
      <c r="C106" s="105"/>
      <c r="D106" s="102"/>
      <c r="E106" s="81"/>
      <c r="F106" s="81"/>
      <c r="G106" s="81"/>
      <c r="H106" s="10"/>
      <c r="I106" s="10"/>
      <c r="J106" s="103"/>
      <c r="K106" s="107"/>
      <c r="L106" s="82"/>
    </row>
    <row r="107" customFormat="false" ht="15" hidden="false" customHeight="true" outlineLevel="0" collapsed="false">
      <c r="A107" s="105"/>
      <c r="B107" s="105"/>
      <c r="C107" s="105"/>
      <c r="D107" s="102"/>
      <c r="E107" s="81"/>
      <c r="F107" s="81"/>
      <c r="G107" s="81"/>
      <c r="H107" s="10"/>
      <c r="I107" s="10"/>
      <c r="J107" s="103"/>
      <c r="K107" s="104"/>
      <c r="L107" s="82"/>
    </row>
    <row r="108" customFormat="false" ht="15" hidden="false" customHeight="true" outlineLevel="0" collapsed="false">
      <c r="A108" s="92"/>
      <c r="B108" s="93"/>
      <c r="C108" s="94"/>
      <c r="D108" s="95"/>
      <c r="E108" s="96"/>
      <c r="F108" s="96"/>
      <c r="G108" s="96"/>
      <c r="H108" s="97"/>
      <c r="I108" s="97"/>
      <c r="J108" s="98"/>
      <c r="K108" s="99"/>
      <c r="L108" s="100"/>
    </row>
    <row r="109" customFormat="false" ht="15" hidden="false" customHeight="true" outlineLevel="0" collapsed="false">
      <c r="A109" s="101"/>
      <c r="B109" s="101"/>
      <c r="C109" s="101"/>
      <c r="D109" s="102"/>
      <c r="E109" s="81"/>
      <c r="F109" s="81"/>
      <c r="G109" s="81"/>
      <c r="H109" s="10"/>
      <c r="I109" s="10"/>
      <c r="J109" s="103"/>
      <c r="K109" s="104"/>
      <c r="L109" s="82"/>
    </row>
    <row r="110" customFormat="false" ht="15" hidden="false" customHeight="true" outlineLevel="0" collapsed="false">
      <c r="A110" s="105"/>
      <c r="B110" s="106"/>
      <c r="C110" s="105"/>
      <c r="D110" s="102"/>
      <c r="E110" s="81"/>
      <c r="F110" s="81"/>
      <c r="G110" s="81"/>
      <c r="H110" s="10"/>
      <c r="I110" s="10"/>
      <c r="J110" s="103"/>
      <c r="K110" s="107"/>
      <c r="L110" s="82"/>
    </row>
    <row r="111" customFormat="false" ht="15" hidden="false" customHeight="true" outlineLevel="0" collapsed="false">
      <c r="A111" s="105"/>
      <c r="B111" s="105"/>
      <c r="C111" s="105"/>
      <c r="D111" s="102"/>
      <c r="E111" s="81"/>
      <c r="F111" s="81"/>
      <c r="G111" s="81"/>
      <c r="H111" s="10"/>
      <c r="I111" s="10"/>
      <c r="J111" s="103"/>
      <c r="K111" s="104"/>
      <c r="L111" s="82"/>
    </row>
    <row r="112" customFormat="false" ht="15" hidden="false" customHeight="true" outlineLevel="0" collapsed="false">
      <c r="A112" s="92"/>
      <c r="B112" s="93"/>
      <c r="C112" s="94"/>
      <c r="D112" s="95"/>
      <c r="E112" s="96"/>
      <c r="F112" s="96"/>
      <c r="G112" s="96"/>
      <c r="H112" s="97"/>
      <c r="I112" s="97"/>
      <c r="J112" s="98"/>
      <c r="K112" s="99"/>
      <c r="L112" s="100"/>
    </row>
    <row r="113" customFormat="false" ht="15" hidden="false" customHeight="true" outlineLevel="0" collapsed="false">
      <c r="A113" s="101"/>
      <c r="B113" s="101"/>
      <c r="C113" s="101"/>
      <c r="D113" s="102"/>
      <c r="E113" s="81"/>
      <c r="F113" s="81"/>
      <c r="G113" s="81"/>
      <c r="H113" s="10"/>
      <c r="I113" s="10"/>
      <c r="J113" s="103"/>
      <c r="K113" s="104"/>
      <c r="L113" s="82"/>
    </row>
    <row r="114" customFormat="false" ht="15" hidden="false" customHeight="true" outlineLevel="0" collapsed="false">
      <c r="A114" s="105"/>
      <c r="B114" s="106"/>
      <c r="C114" s="105"/>
      <c r="D114" s="102"/>
      <c r="E114" s="81"/>
      <c r="F114" s="81"/>
      <c r="G114" s="81"/>
      <c r="H114" s="10"/>
      <c r="I114" s="10"/>
      <c r="J114" s="103"/>
      <c r="K114" s="107"/>
      <c r="L114" s="82"/>
    </row>
    <row r="115" customFormat="false" ht="15" hidden="false" customHeight="true" outlineLevel="0" collapsed="false">
      <c r="A115" s="105"/>
      <c r="B115" s="105"/>
      <c r="C115" s="105"/>
      <c r="D115" s="102"/>
      <c r="E115" s="81"/>
      <c r="F115" s="81"/>
      <c r="G115" s="81"/>
      <c r="H115" s="10"/>
      <c r="I115" s="10"/>
      <c r="J115" s="103"/>
      <c r="K115" s="104"/>
      <c r="L115" s="82"/>
    </row>
    <row r="116" customFormat="false" ht="17.25" hidden="false" customHeight="true" outlineLevel="0" collapsed="false">
      <c r="A116" s="85"/>
      <c r="H116" s="86"/>
      <c r="I116" s="87"/>
      <c r="J116" s="88"/>
      <c r="K116" s="89"/>
    </row>
    <row r="117" customFormat="false" ht="15" hidden="false" customHeight="true" outlineLevel="0" collapsed="false">
      <c r="A117" s="70"/>
      <c r="I117" s="90"/>
      <c r="J117" s="91"/>
    </row>
    <row r="118" customFormat="false" ht="23.25" hidden="false" customHeight="true" outlineLevel="0" collapsed="false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</row>
    <row r="119" customFormat="false" ht="15" hidden="false" customHeight="true" outlineLevel="0" collapsed="false">
      <c r="A119" s="92"/>
      <c r="B119" s="93"/>
      <c r="C119" s="94"/>
      <c r="D119" s="95"/>
      <c r="E119" s="96"/>
      <c r="F119" s="96"/>
      <c r="G119" s="96"/>
      <c r="H119" s="97"/>
      <c r="I119" s="97"/>
      <c r="J119" s="98"/>
      <c r="K119" s="99"/>
      <c r="L119" s="100"/>
    </row>
    <row r="120" customFormat="false" ht="15" hidden="false" customHeight="true" outlineLevel="0" collapsed="false">
      <c r="A120" s="101"/>
      <c r="B120" s="101"/>
      <c r="C120" s="101"/>
      <c r="D120" s="102"/>
      <c r="E120" s="81"/>
      <c r="F120" s="81"/>
      <c r="G120" s="81"/>
      <c r="H120" s="10"/>
      <c r="I120" s="10"/>
      <c r="J120" s="103"/>
      <c r="K120" s="104"/>
      <c r="L120" s="82"/>
    </row>
    <row r="121" customFormat="false" ht="15" hidden="false" customHeight="true" outlineLevel="0" collapsed="false">
      <c r="A121" s="105"/>
      <c r="B121" s="106"/>
      <c r="C121" s="105"/>
      <c r="D121" s="102"/>
      <c r="E121" s="81"/>
      <c r="F121" s="81"/>
      <c r="G121" s="81"/>
      <c r="H121" s="10"/>
      <c r="I121" s="10"/>
      <c r="J121" s="103"/>
      <c r="K121" s="107"/>
      <c r="L121" s="82"/>
    </row>
    <row r="122" customFormat="false" ht="15" hidden="false" customHeight="true" outlineLevel="0" collapsed="false">
      <c r="A122" s="105"/>
      <c r="B122" s="105"/>
      <c r="C122" s="105"/>
      <c r="D122" s="102"/>
      <c r="E122" s="81"/>
      <c r="F122" s="81"/>
      <c r="G122" s="81"/>
      <c r="H122" s="10"/>
      <c r="I122" s="10"/>
      <c r="J122" s="103"/>
      <c r="K122" s="104"/>
      <c r="L122" s="82"/>
    </row>
    <row r="123" customFormat="false" ht="15" hidden="false" customHeight="true" outlineLevel="0" collapsed="false">
      <c r="A123" s="92"/>
      <c r="B123" s="93"/>
      <c r="C123" s="94"/>
      <c r="D123" s="95"/>
      <c r="E123" s="96"/>
      <c r="F123" s="96"/>
      <c r="G123" s="96"/>
      <c r="H123" s="97"/>
      <c r="I123" s="97"/>
      <c r="J123" s="98"/>
      <c r="K123" s="99"/>
      <c r="L123" s="100"/>
    </row>
    <row r="124" customFormat="false" ht="15" hidden="false" customHeight="true" outlineLevel="0" collapsed="false">
      <c r="A124" s="101"/>
      <c r="B124" s="101"/>
      <c r="C124" s="101"/>
      <c r="D124" s="102"/>
      <c r="E124" s="81"/>
      <c r="F124" s="81"/>
      <c r="G124" s="81"/>
      <c r="H124" s="10"/>
      <c r="I124" s="10"/>
      <c r="J124" s="103"/>
      <c r="K124" s="104"/>
      <c r="L124" s="82"/>
    </row>
    <row r="125" customFormat="false" ht="15" hidden="false" customHeight="true" outlineLevel="0" collapsed="false">
      <c r="A125" s="105"/>
      <c r="B125" s="106"/>
      <c r="C125" s="105"/>
      <c r="D125" s="102"/>
      <c r="E125" s="81"/>
      <c r="F125" s="81"/>
      <c r="G125" s="81"/>
      <c r="H125" s="10"/>
      <c r="I125" s="10"/>
      <c r="J125" s="103"/>
      <c r="K125" s="107"/>
      <c r="L125" s="82"/>
    </row>
    <row r="126" customFormat="false" ht="15" hidden="false" customHeight="true" outlineLevel="0" collapsed="false">
      <c r="A126" s="105"/>
      <c r="B126" s="105"/>
      <c r="C126" s="105"/>
      <c r="D126" s="102"/>
      <c r="E126" s="81"/>
      <c r="F126" s="81"/>
      <c r="G126" s="81"/>
      <c r="H126" s="10"/>
      <c r="I126" s="10"/>
      <c r="J126" s="103"/>
      <c r="K126" s="104"/>
      <c r="L126" s="82"/>
    </row>
    <row r="127" customFormat="false" ht="15" hidden="false" customHeight="true" outlineLevel="0" collapsed="false">
      <c r="A127" s="92"/>
      <c r="B127" s="93"/>
      <c r="C127" s="94"/>
      <c r="D127" s="95"/>
      <c r="E127" s="96"/>
      <c r="F127" s="96"/>
      <c r="G127" s="96"/>
      <c r="H127" s="97"/>
      <c r="I127" s="97"/>
      <c r="J127" s="98"/>
      <c r="K127" s="99"/>
      <c r="L127" s="100"/>
    </row>
    <row r="128" customFormat="false" ht="15" hidden="false" customHeight="true" outlineLevel="0" collapsed="false">
      <c r="A128" s="101"/>
      <c r="B128" s="101"/>
      <c r="C128" s="101"/>
      <c r="D128" s="102"/>
      <c r="E128" s="81"/>
      <c r="F128" s="81"/>
      <c r="G128" s="81"/>
      <c r="H128" s="10"/>
      <c r="I128" s="10"/>
      <c r="J128" s="103"/>
      <c r="K128" s="104"/>
      <c r="L128" s="82"/>
    </row>
    <row r="129" customFormat="false" ht="15" hidden="false" customHeight="true" outlineLevel="0" collapsed="false">
      <c r="A129" s="105"/>
      <c r="B129" s="106"/>
      <c r="C129" s="105"/>
      <c r="D129" s="102"/>
      <c r="E129" s="81"/>
      <c r="F129" s="81"/>
      <c r="G129" s="81"/>
      <c r="H129" s="10"/>
      <c r="I129" s="10"/>
      <c r="J129" s="103"/>
      <c r="K129" s="107"/>
      <c r="L129" s="82"/>
    </row>
    <row r="130" customFormat="false" ht="15" hidden="false" customHeight="true" outlineLevel="0" collapsed="false">
      <c r="A130" s="105"/>
      <c r="B130" s="105"/>
      <c r="C130" s="105"/>
      <c r="D130" s="102"/>
      <c r="E130" s="81"/>
      <c r="F130" s="81"/>
      <c r="G130" s="81"/>
      <c r="H130" s="10"/>
      <c r="I130" s="10"/>
      <c r="J130" s="103"/>
      <c r="K130" s="104"/>
      <c r="L130" s="82"/>
    </row>
    <row r="131" customFormat="false" ht="15" hidden="false" customHeight="true" outlineLevel="0" collapsed="false">
      <c r="A131" s="92"/>
      <c r="B131" s="93"/>
      <c r="C131" s="94"/>
      <c r="D131" s="95"/>
      <c r="E131" s="96"/>
      <c r="F131" s="96"/>
      <c r="G131" s="96"/>
      <c r="H131" s="97"/>
      <c r="I131" s="97"/>
      <c r="J131" s="98"/>
      <c r="K131" s="99"/>
      <c r="L131" s="100"/>
    </row>
    <row r="132" customFormat="false" ht="15" hidden="false" customHeight="true" outlineLevel="0" collapsed="false">
      <c r="A132" s="101"/>
      <c r="B132" s="101"/>
      <c r="C132" s="101"/>
      <c r="D132" s="102"/>
      <c r="E132" s="81"/>
      <c r="F132" s="81"/>
      <c r="G132" s="81"/>
      <c r="H132" s="10"/>
      <c r="I132" s="10"/>
      <c r="J132" s="103"/>
      <c r="K132" s="104"/>
      <c r="L132" s="82"/>
    </row>
    <row r="133" customFormat="false" ht="15" hidden="false" customHeight="true" outlineLevel="0" collapsed="false">
      <c r="A133" s="105"/>
      <c r="B133" s="106"/>
      <c r="C133" s="105"/>
      <c r="D133" s="102"/>
      <c r="E133" s="81"/>
      <c r="F133" s="81"/>
      <c r="G133" s="81"/>
      <c r="H133" s="10"/>
      <c r="I133" s="10"/>
      <c r="J133" s="103"/>
      <c r="K133" s="107"/>
      <c r="L133" s="82"/>
    </row>
    <row r="134" customFormat="false" ht="15" hidden="false" customHeight="true" outlineLevel="0" collapsed="false">
      <c r="A134" s="105"/>
      <c r="B134" s="105"/>
      <c r="C134" s="105"/>
      <c r="D134" s="102"/>
      <c r="E134" s="81"/>
      <c r="F134" s="81"/>
      <c r="G134" s="81"/>
      <c r="H134" s="10"/>
      <c r="I134" s="10"/>
      <c r="J134" s="103"/>
      <c r="K134" s="104"/>
      <c r="L134" s="82"/>
    </row>
    <row r="135" customFormat="false" ht="15" hidden="false" customHeight="true" outlineLevel="0" collapsed="false">
      <c r="A135" s="92"/>
      <c r="B135" s="93"/>
      <c r="C135" s="94"/>
      <c r="D135" s="95"/>
      <c r="E135" s="96"/>
      <c r="F135" s="96"/>
      <c r="G135" s="96"/>
      <c r="H135" s="97"/>
      <c r="I135" s="97"/>
      <c r="J135" s="98"/>
      <c r="K135" s="99"/>
      <c r="L135" s="100"/>
    </row>
    <row r="136" customFormat="false" ht="15" hidden="false" customHeight="true" outlineLevel="0" collapsed="false">
      <c r="A136" s="101"/>
      <c r="B136" s="101"/>
      <c r="C136" s="101"/>
      <c r="D136" s="102"/>
      <c r="E136" s="81"/>
      <c r="F136" s="81"/>
      <c r="G136" s="81"/>
      <c r="H136" s="10"/>
      <c r="I136" s="10"/>
      <c r="J136" s="103"/>
      <c r="K136" s="104"/>
      <c r="L136" s="82"/>
    </row>
    <row r="137" customFormat="false" ht="15" hidden="false" customHeight="true" outlineLevel="0" collapsed="false">
      <c r="A137" s="105"/>
      <c r="B137" s="106"/>
      <c r="C137" s="105"/>
      <c r="D137" s="102"/>
      <c r="E137" s="81"/>
      <c r="F137" s="81"/>
      <c r="G137" s="81"/>
      <c r="H137" s="10"/>
      <c r="I137" s="10"/>
      <c r="J137" s="103"/>
      <c r="K137" s="107"/>
      <c r="L137" s="82"/>
    </row>
    <row r="138" customFormat="false" ht="15" hidden="false" customHeight="true" outlineLevel="0" collapsed="false">
      <c r="A138" s="105"/>
      <c r="B138" s="105"/>
      <c r="C138" s="105"/>
      <c r="D138" s="102"/>
      <c r="E138" s="81"/>
      <c r="F138" s="81"/>
      <c r="G138" s="81"/>
      <c r="H138" s="10"/>
      <c r="I138" s="10"/>
      <c r="J138" s="103"/>
      <c r="K138" s="104"/>
      <c r="L138" s="82"/>
    </row>
    <row r="139" customFormat="false" ht="17.25" hidden="false" customHeight="true" outlineLevel="0" collapsed="false">
      <c r="A139" s="85"/>
      <c r="H139" s="86"/>
      <c r="I139" s="87"/>
      <c r="J139" s="88"/>
      <c r="K139" s="89"/>
    </row>
    <row r="140" customFormat="false" ht="15" hidden="false" customHeight="true" outlineLevel="0" collapsed="false">
      <c r="A140" s="70"/>
      <c r="I140" s="90"/>
      <c r="J140" s="91"/>
    </row>
    <row r="141" customFormat="false" ht="23.25" hidden="false" customHeight="true" outlineLevel="0" collapsed="false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</row>
    <row r="142" customFormat="false" ht="15" hidden="false" customHeight="true" outlineLevel="0" collapsed="false">
      <c r="A142" s="92"/>
      <c r="B142" s="93"/>
      <c r="C142" s="94"/>
      <c r="D142" s="95"/>
      <c r="E142" s="96"/>
      <c r="F142" s="96"/>
      <c r="G142" s="96"/>
      <c r="H142" s="97"/>
      <c r="I142" s="97"/>
      <c r="J142" s="98"/>
      <c r="K142" s="99"/>
      <c r="L142" s="100"/>
    </row>
    <row r="143" customFormat="false" ht="15" hidden="false" customHeight="true" outlineLevel="0" collapsed="false">
      <c r="A143" s="101"/>
      <c r="B143" s="101"/>
      <c r="C143" s="101"/>
      <c r="D143" s="102"/>
      <c r="E143" s="81"/>
      <c r="F143" s="81"/>
      <c r="G143" s="81"/>
      <c r="H143" s="10"/>
      <c r="I143" s="10"/>
      <c r="J143" s="103"/>
      <c r="K143" s="104"/>
      <c r="L143" s="82"/>
    </row>
    <row r="144" customFormat="false" ht="15" hidden="false" customHeight="true" outlineLevel="0" collapsed="false">
      <c r="A144" s="105"/>
      <c r="B144" s="106"/>
      <c r="C144" s="105"/>
      <c r="D144" s="102"/>
      <c r="E144" s="81"/>
      <c r="F144" s="81"/>
      <c r="G144" s="81"/>
      <c r="H144" s="10"/>
      <c r="I144" s="10"/>
      <c r="J144" s="103"/>
      <c r="K144" s="107"/>
      <c r="L144" s="82"/>
    </row>
    <row r="145" customFormat="false" ht="15" hidden="false" customHeight="true" outlineLevel="0" collapsed="false">
      <c r="A145" s="105"/>
      <c r="B145" s="105"/>
      <c r="C145" s="105"/>
      <c r="D145" s="102"/>
      <c r="E145" s="81"/>
      <c r="F145" s="81"/>
      <c r="G145" s="81"/>
      <c r="H145" s="10"/>
      <c r="I145" s="10"/>
      <c r="J145" s="103"/>
      <c r="K145" s="104"/>
      <c r="L145" s="82"/>
    </row>
    <row r="146" customFormat="false" ht="15" hidden="false" customHeight="true" outlineLevel="0" collapsed="false">
      <c r="A146" s="92"/>
      <c r="B146" s="93"/>
      <c r="C146" s="94"/>
      <c r="D146" s="95"/>
      <c r="E146" s="96"/>
      <c r="F146" s="96"/>
      <c r="G146" s="96"/>
      <c r="H146" s="97"/>
      <c r="I146" s="97"/>
      <c r="J146" s="98"/>
      <c r="K146" s="99"/>
      <c r="L146" s="100"/>
    </row>
    <row r="147" customFormat="false" ht="15" hidden="false" customHeight="true" outlineLevel="0" collapsed="false">
      <c r="A147" s="101"/>
      <c r="B147" s="101"/>
      <c r="C147" s="101"/>
      <c r="D147" s="102"/>
      <c r="E147" s="81"/>
      <c r="F147" s="81"/>
      <c r="G147" s="81"/>
      <c r="H147" s="10"/>
      <c r="I147" s="10"/>
      <c r="J147" s="103"/>
      <c r="K147" s="104"/>
      <c r="L147" s="82"/>
    </row>
    <row r="148" customFormat="false" ht="15" hidden="false" customHeight="true" outlineLevel="0" collapsed="false">
      <c r="A148" s="105"/>
      <c r="B148" s="106"/>
      <c r="C148" s="105"/>
      <c r="D148" s="102"/>
      <c r="E148" s="81"/>
      <c r="F148" s="81"/>
      <c r="G148" s="81"/>
      <c r="H148" s="10"/>
      <c r="I148" s="10"/>
      <c r="J148" s="103"/>
      <c r="K148" s="107"/>
      <c r="L148" s="82"/>
    </row>
    <row r="149" customFormat="false" ht="15" hidden="false" customHeight="true" outlineLevel="0" collapsed="false">
      <c r="A149" s="105"/>
      <c r="B149" s="105"/>
      <c r="C149" s="105"/>
      <c r="D149" s="102"/>
      <c r="E149" s="81"/>
      <c r="F149" s="81"/>
      <c r="G149" s="81"/>
      <c r="H149" s="10"/>
      <c r="I149" s="10"/>
      <c r="J149" s="103"/>
      <c r="K149" s="104"/>
      <c r="L149" s="82"/>
    </row>
    <row r="150" customFormat="false" ht="15" hidden="false" customHeight="true" outlineLevel="0" collapsed="false">
      <c r="A150" s="92"/>
      <c r="B150" s="93"/>
      <c r="C150" s="94"/>
      <c r="D150" s="95"/>
      <c r="E150" s="96"/>
      <c r="F150" s="96"/>
      <c r="G150" s="96"/>
      <c r="H150" s="97"/>
      <c r="I150" s="97"/>
      <c r="J150" s="98"/>
      <c r="K150" s="99"/>
      <c r="L150" s="100"/>
    </row>
    <row r="151" customFormat="false" ht="15" hidden="false" customHeight="true" outlineLevel="0" collapsed="false">
      <c r="A151" s="101"/>
      <c r="B151" s="101"/>
      <c r="C151" s="101"/>
      <c r="D151" s="102"/>
      <c r="E151" s="81"/>
      <c r="F151" s="81"/>
      <c r="G151" s="81"/>
      <c r="H151" s="10"/>
      <c r="I151" s="10"/>
      <c r="J151" s="103"/>
      <c r="K151" s="104"/>
      <c r="L151" s="82"/>
    </row>
    <row r="152" customFormat="false" ht="15" hidden="false" customHeight="true" outlineLevel="0" collapsed="false">
      <c r="A152" s="105"/>
      <c r="B152" s="106"/>
      <c r="C152" s="105"/>
      <c r="D152" s="102"/>
      <c r="E152" s="81"/>
      <c r="F152" s="81"/>
      <c r="G152" s="81"/>
      <c r="H152" s="10"/>
      <c r="I152" s="10"/>
      <c r="J152" s="103"/>
      <c r="K152" s="107"/>
      <c r="L152" s="82"/>
    </row>
    <row r="153" customFormat="false" ht="15" hidden="false" customHeight="true" outlineLevel="0" collapsed="false">
      <c r="A153" s="105"/>
      <c r="B153" s="105"/>
      <c r="C153" s="105"/>
      <c r="D153" s="102"/>
      <c r="E153" s="81"/>
      <c r="F153" s="81"/>
      <c r="G153" s="81"/>
      <c r="H153" s="10"/>
      <c r="I153" s="10"/>
      <c r="J153" s="103"/>
      <c r="K153" s="104"/>
      <c r="L153" s="82"/>
    </row>
    <row r="154" customFormat="false" ht="15" hidden="false" customHeight="true" outlineLevel="0" collapsed="false">
      <c r="A154" s="92"/>
      <c r="B154" s="93"/>
      <c r="C154" s="94"/>
      <c r="D154" s="95"/>
      <c r="E154" s="96"/>
      <c r="F154" s="96"/>
      <c r="G154" s="96"/>
      <c r="H154" s="97"/>
      <c r="I154" s="97"/>
      <c r="J154" s="98"/>
      <c r="K154" s="99"/>
      <c r="L154" s="100"/>
    </row>
    <row r="155" customFormat="false" ht="15" hidden="false" customHeight="true" outlineLevel="0" collapsed="false">
      <c r="A155" s="101"/>
      <c r="B155" s="101"/>
      <c r="C155" s="101"/>
      <c r="D155" s="102"/>
      <c r="E155" s="81"/>
      <c r="F155" s="81"/>
      <c r="G155" s="81"/>
      <c r="H155" s="10"/>
      <c r="I155" s="10"/>
      <c r="J155" s="103"/>
      <c r="K155" s="104"/>
      <c r="L155" s="82"/>
    </row>
    <row r="156" customFormat="false" ht="15" hidden="false" customHeight="true" outlineLevel="0" collapsed="false">
      <c r="A156" s="105"/>
      <c r="B156" s="106"/>
      <c r="C156" s="105"/>
      <c r="D156" s="102"/>
      <c r="E156" s="81"/>
      <c r="F156" s="81"/>
      <c r="G156" s="81"/>
      <c r="H156" s="10"/>
      <c r="I156" s="10"/>
      <c r="J156" s="103"/>
      <c r="K156" s="107"/>
      <c r="L156" s="82"/>
    </row>
    <row r="157" customFormat="false" ht="15" hidden="false" customHeight="true" outlineLevel="0" collapsed="false">
      <c r="A157" s="105"/>
      <c r="B157" s="105"/>
      <c r="C157" s="105"/>
      <c r="D157" s="102"/>
      <c r="E157" s="81"/>
      <c r="F157" s="81"/>
      <c r="G157" s="81"/>
      <c r="H157" s="10"/>
      <c r="I157" s="10"/>
      <c r="J157" s="103"/>
      <c r="K157" s="104"/>
      <c r="L157" s="82"/>
    </row>
    <row r="158" customFormat="false" ht="15" hidden="false" customHeight="true" outlineLevel="0" collapsed="false">
      <c r="A158" s="92"/>
      <c r="B158" s="93"/>
      <c r="C158" s="94"/>
      <c r="D158" s="95"/>
      <c r="E158" s="96"/>
      <c r="F158" s="96"/>
      <c r="G158" s="96"/>
      <c r="H158" s="97"/>
      <c r="I158" s="97"/>
      <c r="J158" s="98"/>
      <c r="K158" s="99"/>
      <c r="L158" s="100"/>
    </row>
    <row r="159" customFormat="false" ht="15" hidden="false" customHeight="true" outlineLevel="0" collapsed="false">
      <c r="A159" s="101"/>
      <c r="B159" s="101"/>
      <c r="C159" s="101"/>
      <c r="D159" s="102"/>
      <c r="E159" s="81"/>
      <c r="F159" s="81"/>
      <c r="G159" s="81"/>
      <c r="H159" s="10"/>
      <c r="I159" s="10"/>
      <c r="J159" s="103"/>
      <c r="K159" s="104"/>
      <c r="L159" s="82"/>
    </row>
    <row r="160" customFormat="false" ht="15" hidden="false" customHeight="true" outlineLevel="0" collapsed="false">
      <c r="A160" s="105"/>
      <c r="B160" s="106"/>
      <c r="C160" s="105"/>
      <c r="D160" s="102"/>
      <c r="E160" s="81"/>
      <c r="F160" s="81"/>
      <c r="G160" s="81"/>
      <c r="H160" s="10"/>
      <c r="I160" s="10"/>
      <c r="J160" s="103"/>
      <c r="K160" s="107"/>
      <c r="L160" s="82"/>
    </row>
    <row r="161" customFormat="false" ht="15" hidden="false" customHeight="true" outlineLevel="0" collapsed="false">
      <c r="A161" s="105"/>
      <c r="B161" s="105"/>
      <c r="C161" s="105"/>
      <c r="D161" s="102"/>
      <c r="E161" s="81"/>
      <c r="F161" s="81"/>
      <c r="G161" s="81"/>
      <c r="H161" s="10"/>
      <c r="I161" s="10"/>
      <c r="J161" s="103"/>
      <c r="K161" s="104"/>
      <c r="L161" s="82"/>
    </row>
    <row r="162" customFormat="false" ht="17.25" hidden="false" customHeight="true" outlineLevel="0" collapsed="false">
      <c r="A162" s="85"/>
      <c r="H162" s="86"/>
      <c r="I162" s="87"/>
      <c r="J162" s="88"/>
      <c r="K162" s="89"/>
    </row>
    <row r="163" customFormat="false" ht="15" hidden="false" customHeight="true" outlineLevel="0" collapsed="false">
      <c r="A163" s="70"/>
      <c r="I163" s="90"/>
      <c r="J163" s="91"/>
    </row>
    <row r="164" customFormat="false" ht="23.25" hidden="false" customHeight="true" outlineLevel="0" collapsed="false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</row>
    <row r="165" customFormat="false" ht="15" hidden="false" customHeight="true" outlineLevel="0" collapsed="false">
      <c r="A165" s="92"/>
      <c r="B165" s="93"/>
      <c r="C165" s="94"/>
      <c r="D165" s="95"/>
      <c r="E165" s="96"/>
      <c r="F165" s="96"/>
      <c r="G165" s="96"/>
      <c r="H165" s="97"/>
      <c r="I165" s="97"/>
      <c r="J165" s="98"/>
      <c r="K165" s="99"/>
      <c r="L165" s="100"/>
    </row>
    <row r="166" customFormat="false" ht="15" hidden="false" customHeight="true" outlineLevel="0" collapsed="false">
      <c r="A166" s="101"/>
      <c r="B166" s="101"/>
      <c r="C166" s="101"/>
      <c r="D166" s="102"/>
      <c r="E166" s="81"/>
      <c r="F166" s="81"/>
      <c r="G166" s="81"/>
      <c r="H166" s="10"/>
      <c r="I166" s="10"/>
      <c r="J166" s="103"/>
      <c r="K166" s="104"/>
      <c r="L166" s="82"/>
    </row>
    <row r="167" customFormat="false" ht="15" hidden="false" customHeight="true" outlineLevel="0" collapsed="false">
      <c r="A167" s="105"/>
      <c r="B167" s="106"/>
      <c r="C167" s="105"/>
      <c r="D167" s="102"/>
      <c r="E167" s="81"/>
      <c r="F167" s="81"/>
      <c r="G167" s="81"/>
      <c r="H167" s="10"/>
      <c r="I167" s="10"/>
      <c r="J167" s="103"/>
      <c r="K167" s="107"/>
      <c r="L167" s="82"/>
    </row>
    <row r="168" customFormat="false" ht="15" hidden="false" customHeight="true" outlineLevel="0" collapsed="false">
      <c r="A168" s="105"/>
      <c r="B168" s="105"/>
      <c r="C168" s="105"/>
      <c r="D168" s="102"/>
      <c r="E168" s="81"/>
      <c r="F168" s="81"/>
      <c r="G168" s="81"/>
      <c r="H168" s="10"/>
      <c r="I168" s="10"/>
      <c r="J168" s="103"/>
      <c r="K168" s="104"/>
      <c r="L168" s="82"/>
    </row>
    <row r="169" customFormat="false" ht="15" hidden="false" customHeight="true" outlineLevel="0" collapsed="false">
      <c r="A169" s="92"/>
      <c r="B169" s="93"/>
      <c r="C169" s="94"/>
      <c r="D169" s="95"/>
      <c r="E169" s="96"/>
      <c r="F169" s="96"/>
      <c r="G169" s="96"/>
      <c r="H169" s="97"/>
      <c r="I169" s="97"/>
      <c r="J169" s="98"/>
      <c r="K169" s="99"/>
      <c r="L169" s="100"/>
    </row>
    <row r="170" customFormat="false" ht="15" hidden="false" customHeight="true" outlineLevel="0" collapsed="false">
      <c r="A170" s="101"/>
      <c r="B170" s="101"/>
      <c r="C170" s="101"/>
      <c r="D170" s="102"/>
      <c r="E170" s="81"/>
      <c r="F170" s="81"/>
      <c r="G170" s="81"/>
      <c r="H170" s="10"/>
      <c r="I170" s="10"/>
      <c r="J170" s="103"/>
      <c r="K170" s="104"/>
      <c r="L170" s="82"/>
    </row>
    <row r="171" customFormat="false" ht="15" hidden="false" customHeight="true" outlineLevel="0" collapsed="false">
      <c r="A171" s="105"/>
      <c r="B171" s="106"/>
      <c r="C171" s="105"/>
      <c r="D171" s="102"/>
      <c r="E171" s="81"/>
      <c r="F171" s="81"/>
      <c r="G171" s="81"/>
      <c r="H171" s="10"/>
      <c r="I171" s="10"/>
      <c r="J171" s="103"/>
      <c r="K171" s="107"/>
      <c r="L171" s="82"/>
    </row>
    <row r="172" customFormat="false" ht="15" hidden="false" customHeight="true" outlineLevel="0" collapsed="false">
      <c r="A172" s="105"/>
      <c r="B172" s="105"/>
      <c r="C172" s="105"/>
      <c r="D172" s="102"/>
      <c r="E172" s="81"/>
      <c r="F172" s="81"/>
      <c r="G172" s="81"/>
      <c r="H172" s="10"/>
      <c r="I172" s="10"/>
      <c r="J172" s="103"/>
      <c r="K172" s="104"/>
      <c r="L172" s="82"/>
    </row>
    <row r="173" customFormat="false" ht="15" hidden="false" customHeight="true" outlineLevel="0" collapsed="false">
      <c r="A173" s="92"/>
      <c r="B173" s="93"/>
      <c r="C173" s="94"/>
      <c r="D173" s="95"/>
      <c r="E173" s="96"/>
      <c r="F173" s="96"/>
      <c r="G173" s="96"/>
      <c r="H173" s="97"/>
      <c r="I173" s="97"/>
      <c r="J173" s="98"/>
      <c r="K173" s="99"/>
      <c r="L173" s="100"/>
    </row>
    <row r="174" customFormat="false" ht="15" hidden="false" customHeight="true" outlineLevel="0" collapsed="false">
      <c r="A174" s="101"/>
      <c r="B174" s="101"/>
      <c r="C174" s="101"/>
      <c r="D174" s="102"/>
      <c r="E174" s="81"/>
      <c r="F174" s="81"/>
      <c r="G174" s="81"/>
      <c r="H174" s="10"/>
      <c r="I174" s="10"/>
      <c r="J174" s="103"/>
      <c r="K174" s="104"/>
      <c r="L174" s="82"/>
    </row>
    <row r="175" customFormat="false" ht="15" hidden="false" customHeight="true" outlineLevel="0" collapsed="false">
      <c r="A175" s="105"/>
      <c r="B175" s="106"/>
      <c r="C175" s="105"/>
      <c r="D175" s="102"/>
      <c r="E175" s="81"/>
      <c r="F175" s="81"/>
      <c r="G175" s="81"/>
      <c r="H175" s="10"/>
      <c r="I175" s="10"/>
      <c r="J175" s="103"/>
      <c r="K175" s="107"/>
      <c r="L175" s="82"/>
    </row>
    <row r="176" customFormat="false" ht="15" hidden="false" customHeight="true" outlineLevel="0" collapsed="false">
      <c r="A176" s="105"/>
      <c r="B176" s="105"/>
      <c r="C176" s="105"/>
      <c r="D176" s="102"/>
      <c r="E176" s="81"/>
      <c r="F176" s="81"/>
      <c r="G176" s="81"/>
      <c r="H176" s="10"/>
      <c r="I176" s="10"/>
      <c r="J176" s="103"/>
      <c r="K176" s="104"/>
      <c r="L176" s="82"/>
    </row>
    <row r="177" customFormat="false" ht="15" hidden="false" customHeight="true" outlineLevel="0" collapsed="false">
      <c r="A177" s="92"/>
      <c r="B177" s="93"/>
      <c r="C177" s="94"/>
      <c r="D177" s="95"/>
      <c r="E177" s="96"/>
      <c r="F177" s="96"/>
      <c r="G177" s="96"/>
      <c r="H177" s="97"/>
      <c r="I177" s="97"/>
      <c r="J177" s="98"/>
      <c r="K177" s="99"/>
      <c r="L177" s="100"/>
    </row>
    <row r="178" customFormat="false" ht="15" hidden="false" customHeight="true" outlineLevel="0" collapsed="false">
      <c r="A178" s="101"/>
      <c r="B178" s="101"/>
      <c r="C178" s="101"/>
      <c r="D178" s="102"/>
      <c r="E178" s="81"/>
      <c r="F178" s="81"/>
      <c r="G178" s="81"/>
      <c r="H178" s="10"/>
      <c r="I178" s="10"/>
      <c r="J178" s="103"/>
      <c r="K178" s="104"/>
      <c r="L178" s="82"/>
    </row>
    <row r="179" customFormat="false" ht="15" hidden="false" customHeight="true" outlineLevel="0" collapsed="false">
      <c r="A179" s="105"/>
      <c r="B179" s="106"/>
      <c r="C179" s="105"/>
      <c r="D179" s="102"/>
      <c r="E179" s="81"/>
      <c r="F179" s="81"/>
      <c r="G179" s="81"/>
      <c r="H179" s="10"/>
      <c r="I179" s="10"/>
      <c r="J179" s="103"/>
      <c r="K179" s="107"/>
      <c r="L179" s="82"/>
    </row>
    <row r="180" customFormat="false" ht="15" hidden="false" customHeight="true" outlineLevel="0" collapsed="false">
      <c r="A180" s="105"/>
      <c r="B180" s="105"/>
      <c r="C180" s="105"/>
      <c r="D180" s="102"/>
      <c r="E180" s="81"/>
      <c r="F180" s="81"/>
      <c r="G180" s="81"/>
      <c r="H180" s="10"/>
      <c r="I180" s="10"/>
      <c r="J180" s="103"/>
      <c r="K180" s="104"/>
      <c r="L180" s="82"/>
    </row>
    <row r="181" customFormat="false" ht="15" hidden="false" customHeight="true" outlineLevel="0" collapsed="false">
      <c r="A181" s="92"/>
      <c r="B181" s="93"/>
      <c r="C181" s="94"/>
      <c r="D181" s="95"/>
      <c r="E181" s="96"/>
      <c r="F181" s="96"/>
      <c r="G181" s="96"/>
      <c r="H181" s="97"/>
      <c r="I181" s="97"/>
      <c r="J181" s="98"/>
      <c r="K181" s="99"/>
      <c r="L181" s="100"/>
    </row>
    <row r="182" customFormat="false" ht="15" hidden="false" customHeight="true" outlineLevel="0" collapsed="false">
      <c r="A182" s="101"/>
      <c r="B182" s="101"/>
      <c r="C182" s="101"/>
      <c r="D182" s="102"/>
      <c r="E182" s="81"/>
      <c r="F182" s="81"/>
      <c r="G182" s="81"/>
      <c r="H182" s="10"/>
      <c r="I182" s="10"/>
      <c r="J182" s="103"/>
      <c r="K182" s="104"/>
      <c r="L182" s="82"/>
    </row>
    <row r="183" customFormat="false" ht="15" hidden="false" customHeight="true" outlineLevel="0" collapsed="false">
      <c r="A183" s="105"/>
      <c r="B183" s="106"/>
      <c r="C183" s="105"/>
      <c r="D183" s="102"/>
      <c r="E183" s="81"/>
      <c r="F183" s="81"/>
      <c r="G183" s="81"/>
      <c r="H183" s="10"/>
      <c r="I183" s="10"/>
      <c r="J183" s="103"/>
      <c r="K183" s="107"/>
      <c r="L183" s="82"/>
    </row>
    <row r="184" customFormat="false" ht="15" hidden="false" customHeight="true" outlineLevel="0" collapsed="false">
      <c r="A184" s="105"/>
      <c r="B184" s="105"/>
      <c r="C184" s="105"/>
      <c r="D184" s="102"/>
      <c r="E184" s="81"/>
      <c r="F184" s="81"/>
      <c r="G184" s="81"/>
      <c r="H184" s="10"/>
      <c r="I184" s="10"/>
      <c r="J184" s="103"/>
      <c r="K184" s="104"/>
      <c r="L184" s="82"/>
    </row>
    <row r="185" customFormat="false" ht="17.25" hidden="false" customHeight="true" outlineLevel="0" collapsed="false">
      <c r="A185" s="85"/>
      <c r="H185" s="86"/>
      <c r="I185" s="87"/>
      <c r="J185" s="88"/>
      <c r="K185" s="89"/>
    </row>
    <row r="186" customFormat="false" ht="15" hidden="false" customHeight="true" outlineLevel="0" collapsed="false">
      <c r="A186" s="70"/>
      <c r="I186" s="90"/>
      <c r="J186" s="91"/>
    </row>
    <row r="187" customFormat="false" ht="23.25" hidden="false" customHeight="true" outlineLevel="0" collapsed="false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</row>
    <row r="188" customFormat="false" ht="15" hidden="false" customHeight="true" outlineLevel="0" collapsed="false">
      <c r="A188" s="92"/>
      <c r="B188" s="93"/>
      <c r="C188" s="94"/>
      <c r="D188" s="95"/>
      <c r="E188" s="96"/>
      <c r="F188" s="96"/>
      <c r="G188" s="96"/>
      <c r="H188" s="97"/>
      <c r="I188" s="97"/>
      <c r="J188" s="98"/>
      <c r="K188" s="99"/>
      <c r="L188" s="100"/>
    </row>
    <row r="189" customFormat="false" ht="15" hidden="false" customHeight="true" outlineLevel="0" collapsed="false">
      <c r="A189" s="101"/>
      <c r="B189" s="101"/>
      <c r="C189" s="101"/>
      <c r="D189" s="102"/>
      <c r="E189" s="81"/>
      <c r="F189" s="81"/>
      <c r="G189" s="81"/>
      <c r="H189" s="10"/>
      <c r="I189" s="10"/>
      <c r="J189" s="103"/>
      <c r="K189" s="104"/>
      <c r="L189" s="82"/>
    </row>
    <row r="190" customFormat="false" ht="15" hidden="false" customHeight="true" outlineLevel="0" collapsed="false">
      <c r="A190" s="105"/>
      <c r="B190" s="106"/>
      <c r="C190" s="105"/>
      <c r="D190" s="102"/>
      <c r="E190" s="81"/>
      <c r="F190" s="81"/>
      <c r="G190" s="81"/>
      <c r="H190" s="10"/>
      <c r="I190" s="10"/>
      <c r="J190" s="103"/>
      <c r="K190" s="107"/>
      <c r="L190" s="82"/>
    </row>
    <row r="191" customFormat="false" ht="15" hidden="false" customHeight="true" outlineLevel="0" collapsed="false">
      <c r="A191" s="105"/>
      <c r="B191" s="105"/>
      <c r="C191" s="105"/>
      <c r="D191" s="102"/>
      <c r="E191" s="81"/>
      <c r="F191" s="81"/>
      <c r="G191" s="81"/>
      <c r="H191" s="10"/>
      <c r="I191" s="10"/>
      <c r="J191" s="103"/>
      <c r="K191" s="104"/>
      <c r="L191" s="82"/>
    </row>
    <row r="192" customFormat="false" ht="15" hidden="false" customHeight="true" outlineLevel="0" collapsed="false">
      <c r="A192" s="92"/>
      <c r="B192" s="93"/>
      <c r="C192" s="94"/>
      <c r="D192" s="95"/>
      <c r="E192" s="96"/>
      <c r="F192" s="96"/>
      <c r="G192" s="96"/>
      <c r="H192" s="97"/>
      <c r="I192" s="97"/>
      <c r="J192" s="98"/>
      <c r="K192" s="99"/>
      <c r="L192" s="100"/>
    </row>
    <row r="193" customFormat="false" ht="15" hidden="false" customHeight="true" outlineLevel="0" collapsed="false">
      <c r="A193" s="101"/>
      <c r="B193" s="101"/>
      <c r="C193" s="101"/>
      <c r="D193" s="102"/>
      <c r="E193" s="81"/>
      <c r="F193" s="81"/>
      <c r="G193" s="81"/>
      <c r="H193" s="10"/>
      <c r="I193" s="10"/>
      <c r="J193" s="103"/>
      <c r="K193" s="104"/>
      <c r="L193" s="82"/>
    </row>
    <row r="194" customFormat="false" ht="15" hidden="false" customHeight="true" outlineLevel="0" collapsed="false">
      <c r="A194" s="105"/>
      <c r="B194" s="106"/>
      <c r="C194" s="105"/>
      <c r="D194" s="102"/>
      <c r="E194" s="81"/>
      <c r="F194" s="81"/>
      <c r="G194" s="81"/>
      <c r="H194" s="10"/>
      <c r="I194" s="10"/>
      <c r="J194" s="103"/>
      <c r="K194" s="107"/>
      <c r="L194" s="82"/>
    </row>
    <row r="195" customFormat="false" ht="15" hidden="false" customHeight="true" outlineLevel="0" collapsed="false">
      <c r="A195" s="105"/>
      <c r="B195" s="105"/>
      <c r="C195" s="105"/>
      <c r="D195" s="102"/>
      <c r="E195" s="81"/>
      <c r="F195" s="81"/>
      <c r="G195" s="81"/>
      <c r="H195" s="10"/>
      <c r="I195" s="10"/>
      <c r="J195" s="103"/>
      <c r="K195" s="104"/>
      <c r="L195" s="82"/>
    </row>
    <row r="196" customFormat="false" ht="15" hidden="false" customHeight="true" outlineLevel="0" collapsed="false">
      <c r="A196" s="92"/>
      <c r="B196" s="93"/>
      <c r="C196" s="94"/>
      <c r="D196" s="95"/>
      <c r="E196" s="96"/>
      <c r="F196" s="96"/>
      <c r="G196" s="96"/>
      <c r="H196" s="97"/>
      <c r="I196" s="97"/>
      <c r="J196" s="98"/>
      <c r="K196" s="99"/>
      <c r="L196" s="100"/>
    </row>
    <row r="197" customFormat="false" ht="15" hidden="false" customHeight="true" outlineLevel="0" collapsed="false">
      <c r="A197" s="101"/>
      <c r="B197" s="101"/>
      <c r="C197" s="101"/>
      <c r="D197" s="102"/>
      <c r="E197" s="81"/>
      <c r="F197" s="81"/>
      <c r="G197" s="81"/>
      <c r="H197" s="10"/>
      <c r="I197" s="10"/>
      <c r="J197" s="103"/>
      <c r="K197" s="104"/>
      <c r="L197" s="82"/>
    </row>
    <row r="198" customFormat="false" ht="15" hidden="false" customHeight="true" outlineLevel="0" collapsed="false">
      <c r="A198" s="105"/>
      <c r="B198" s="106"/>
      <c r="C198" s="105"/>
      <c r="D198" s="102"/>
      <c r="E198" s="81"/>
      <c r="F198" s="81"/>
      <c r="G198" s="81"/>
      <c r="H198" s="10"/>
      <c r="I198" s="10"/>
      <c r="J198" s="103"/>
      <c r="K198" s="107"/>
      <c r="L198" s="82"/>
    </row>
    <row r="199" customFormat="false" ht="15" hidden="false" customHeight="true" outlineLevel="0" collapsed="false">
      <c r="A199" s="105"/>
      <c r="B199" s="105"/>
      <c r="C199" s="105"/>
      <c r="D199" s="102"/>
      <c r="E199" s="81"/>
      <c r="F199" s="81"/>
      <c r="G199" s="81"/>
      <c r="H199" s="10"/>
      <c r="I199" s="10"/>
      <c r="J199" s="103"/>
      <c r="K199" s="104"/>
      <c r="L199" s="82"/>
    </row>
    <row r="200" customFormat="false" ht="15" hidden="false" customHeight="true" outlineLevel="0" collapsed="false">
      <c r="A200" s="92"/>
      <c r="B200" s="93"/>
      <c r="C200" s="94"/>
      <c r="D200" s="95"/>
      <c r="E200" s="96"/>
      <c r="F200" s="96"/>
      <c r="G200" s="96"/>
      <c r="H200" s="97"/>
      <c r="I200" s="97"/>
      <c r="J200" s="98"/>
      <c r="K200" s="99"/>
      <c r="L200" s="100"/>
    </row>
    <row r="201" customFormat="false" ht="15" hidden="false" customHeight="true" outlineLevel="0" collapsed="false">
      <c r="A201" s="101"/>
      <c r="B201" s="101"/>
      <c r="C201" s="101"/>
      <c r="D201" s="102"/>
      <c r="E201" s="81"/>
      <c r="F201" s="81"/>
      <c r="G201" s="81"/>
      <c r="H201" s="10"/>
      <c r="I201" s="10"/>
      <c r="J201" s="103"/>
      <c r="K201" s="104"/>
      <c r="L201" s="82"/>
    </row>
    <row r="202" customFormat="false" ht="15" hidden="false" customHeight="true" outlineLevel="0" collapsed="false">
      <c r="A202" s="105"/>
      <c r="B202" s="106"/>
      <c r="C202" s="105"/>
      <c r="D202" s="102"/>
      <c r="E202" s="81"/>
      <c r="F202" s="81"/>
      <c r="G202" s="81"/>
      <c r="H202" s="10"/>
      <c r="I202" s="10"/>
      <c r="J202" s="103"/>
      <c r="K202" s="107"/>
      <c r="L202" s="82"/>
    </row>
    <row r="203" customFormat="false" ht="15" hidden="false" customHeight="true" outlineLevel="0" collapsed="false">
      <c r="A203" s="105"/>
      <c r="B203" s="105"/>
      <c r="C203" s="105"/>
      <c r="D203" s="102"/>
      <c r="E203" s="81"/>
      <c r="F203" s="81"/>
      <c r="G203" s="81"/>
      <c r="H203" s="10"/>
      <c r="I203" s="10"/>
      <c r="J203" s="103"/>
      <c r="K203" s="104"/>
      <c r="L203" s="82"/>
    </row>
    <row r="204" customFormat="false" ht="15" hidden="false" customHeight="true" outlineLevel="0" collapsed="false">
      <c r="A204" s="92"/>
      <c r="B204" s="93"/>
      <c r="C204" s="94"/>
      <c r="D204" s="95"/>
      <c r="E204" s="96"/>
      <c r="F204" s="96"/>
      <c r="G204" s="96"/>
      <c r="H204" s="97"/>
      <c r="I204" s="97"/>
      <c r="J204" s="98"/>
      <c r="K204" s="99"/>
      <c r="L204" s="100"/>
    </row>
    <row r="205" customFormat="false" ht="15" hidden="false" customHeight="true" outlineLevel="0" collapsed="false">
      <c r="A205" s="101"/>
      <c r="B205" s="101"/>
      <c r="C205" s="101"/>
      <c r="D205" s="102"/>
      <c r="E205" s="81"/>
      <c r="F205" s="81"/>
      <c r="G205" s="81"/>
      <c r="H205" s="10"/>
      <c r="I205" s="10"/>
      <c r="J205" s="103"/>
      <c r="K205" s="104"/>
      <c r="L205" s="82"/>
    </row>
    <row r="206" customFormat="false" ht="15" hidden="false" customHeight="true" outlineLevel="0" collapsed="false">
      <c r="A206" s="105"/>
      <c r="B206" s="106"/>
      <c r="C206" s="105"/>
      <c r="D206" s="102"/>
      <c r="E206" s="81"/>
      <c r="F206" s="81"/>
      <c r="G206" s="81"/>
      <c r="H206" s="10"/>
      <c r="I206" s="10"/>
      <c r="J206" s="103"/>
      <c r="K206" s="107"/>
      <c r="L206" s="82"/>
    </row>
    <row r="207" customFormat="false" ht="15" hidden="false" customHeight="true" outlineLevel="0" collapsed="false">
      <c r="A207" s="105"/>
      <c r="B207" s="105"/>
      <c r="C207" s="105"/>
      <c r="D207" s="102"/>
      <c r="E207" s="81"/>
      <c r="F207" s="81"/>
      <c r="G207" s="81"/>
      <c r="H207" s="10"/>
      <c r="I207" s="10"/>
      <c r="J207" s="103"/>
      <c r="K207" s="104"/>
      <c r="L207" s="8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8" manualBreakCount="8">
    <brk id="23" man="true" max="16383" min="0"/>
    <brk id="46" man="true" max="16383" min="0"/>
    <brk id="69" man="true" max="16383" min="0"/>
    <brk id="92" man="true" max="16383" min="0"/>
    <brk id="115" man="true" max="16383" min="0"/>
    <brk id="138" man="true" max="16383" min="0"/>
    <brk id="161" man="true" max="16383" min="0"/>
    <brk id="184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2025-11-17T19:03:08Z</dcterms:created>
  <dc:creator>Roberto Canales</dc:creator>
  <dc:description/>
  <dc:language>en-US</dc:language>
  <cp:lastModifiedBy/>
  <dcterms:modified xsi:type="dcterms:W3CDTF">2026-04-07T09:48:45Z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0x010100994AF09D86BE3C498753070DF359B656</vt:lpwstr>
  </property>
</Properties>
</file>